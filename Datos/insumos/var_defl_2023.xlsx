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36BDCB95-44E2-4532-B411-41791EEC3C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Sheet1!$A$1:$G$436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2" i="1"/>
</calcChain>
</file>

<file path=xl/sharedStrings.xml><?xml version="1.0" encoding="utf-8"?>
<sst xmlns="http://schemas.openxmlformats.org/spreadsheetml/2006/main" count="1765" uniqueCount="74">
  <si>
    <t>codigo</t>
  </si>
  <si>
    <t>glosa</t>
  </si>
  <si>
    <t>anio</t>
  </si>
  <si>
    <t>pais</t>
  </si>
  <si>
    <t>valor</t>
  </si>
  <si>
    <t>variable</t>
  </si>
  <si>
    <t>deflactor</t>
  </si>
  <si>
    <t>C</t>
  </si>
  <si>
    <t>Industrias manufactureras</t>
  </si>
  <si>
    <t>Brasil</t>
  </si>
  <si>
    <t>consumo_intermedio</t>
  </si>
  <si>
    <t>C10</t>
  </si>
  <si>
    <t>Elaboración de productos alimenticios</t>
  </si>
  <si>
    <t>C11</t>
  </si>
  <si>
    <t>Elaboración de bebidas</t>
  </si>
  <si>
    <t>C12</t>
  </si>
  <si>
    <t>Elaboración de productos de tabaco</t>
  </si>
  <si>
    <t>C13</t>
  </si>
  <si>
    <t>Fabricación de productos textiles</t>
  </si>
  <si>
    <t>C14</t>
  </si>
  <si>
    <t>Fabricación de prendas de vestir</t>
  </si>
  <si>
    <t>C15</t>
  </si>
  <si>
    <t>Fabricación de productos de cuero y productos conexos</t>
  </si>
  <si>
    <t>C16</t>
  </si>
  <si>
    <t>Producción de madera y fabricación de productos de madera y corcho, excepto muebles; fabricación de artículos de paja y de materiales trenzables</t>
  </si>
  <si>
    <t>C17</t>
  </si>
  <si>
    <t>Fabricación de papel y de productos de papel</t>
  </si>
  <si>
    <t>C18</t>
  </si>
  <si>
    <t>Impresión y reproducción de grabaciones</t>
  </si>
  <si>
    <t>C19</t>
  </si>
  <si>
    <t>Fabricación de coque y productos de la refinación del petróleo</t>
  </si>
  <si>
    <t>C20</t>
  </si>
  <si>
    <t>Fabricación de sustancias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</si>
  <si>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</si>
  <si>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</si>
  <si>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</si>
  <si>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de plástico</t>
  </si>
  <si>
    <t>C23</t>
  </si>
  <si>
    <t>Fabricación de otros productos minerales no metálicos</t>
  </si>
  <si>
    <t>C24</t>
  </si>
  <si>
    <t>Fabricación de metales comunes</t>
  </si>
  <si>
    <t>C25</t>
  </si>
  <si>
    <t>Fabricación de productos elaborados de metal, excepto maquinaria y equipo</t>
  </si>
  <si>
    <t>C26</t>
  </si>
  <si>
    <t>Fabricación de productos de informática, de electrónica y de óptica</t>
  </si>
  <si>
    <t>C27</t>
  </si>
  <si>
    <t>Fabricación de equipo eléctrico</t>
  </si>
  <si>
    <t>C28</t>
  </si>
  <si>
    <t>Fabricación de maquinaria y equipo n.c.p.</t>
  </si>
  <si>
    <t>C29</t>
  </si>
  <si>
    <t>Fabricación de vehículos automotores, remolques y semirremolques</t>
  </si>
  <si>
    <t>C30</t>
  </si>
  <si>
    <t>Fabricación de otro equipo de transporte</t>
  </si>
  <si>
    <t>C31</t>
  </si>
  <si>
    <t>Fabricación de muebles</t>
  </si>
  <si>
    <t>C32</t>
  </si>
  <si>
    <t>Otras industrias manufactureras</t>
  </si>
  <si>
    <t>C33</t>
  </si>
  <si>
    <t>Reparación e instalación de maquinaria y equipo</t>
  </si>
  <si>
    <t>Chile</t>
  </si>
  <si>
    <t>CXX</t>
  </si>
  <si>
    <t>Otras empresas/establecimientos anonimizados</t>
  </si>
  <si>
    <t>Ecuador</t>
  </si>
  <si>
    <t>horas_trabajadas</t>
  </si>
  <si>
    <t>nivel_ocupados</t>
  </si>
  <si>
    <t>remuneracion</t>
  </si>
  <si>
    <t>valor_agregado</t>
  </si>
  <si>
    <t>valor_bruto_produccion</t>
  </si>
  <si>
    <t>consumo_energetico</t>
  </si>
  <si>
    <t>valor_dfl</t>
  </si>
  <si>
    <t>unidad</t>
  </si>
  <si>
    <t>Millones de dólares</t>
  </si>
  <si>
    <t>Unidades</t>
  </si>
  <si>
    <t>Terajulios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</si>
</sst>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6"/>
  <sheetViews>
    <sheetView tabSelected="1" topLeftCell="A394" workbookViewId="0">
      <selection activeCell="O404" sqref="O404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70</v>
      </c>
      <c r="I1" s="2" t="s">
        <v>69</v>
      </c>
    </row>
    <row r="2" spans="1:9" x14ac:dyDescent="0.25">
      <c r="A2" t="s">
        <v>7</v>
      </c>
      <c r="B2" t="s">
        <v>8</v>
      </c>
      <c r="C2">
        <v>2023</v>
      </c>
      <c r="D2" t="s">
        <v>9</v>
      </c>
      <c r="E2">
        <v>768089.77</v>
      </c>
      <c r="F2" t="s">
        <v>10</v>
      </c>
      <c r="H2" t="str">
        <f>VLOOKUP(F2,Hoja1!$A$2:$B$8,2,0)</f>
        <v>Millones de dólares</v>
      </c>
      <c r="I2" t="str">
        <f>IFERROR(IF(H2="Millones de dólares",E2/G2*100,E2),"")</f>
        <v/>
      </c>
    </row>
    <row r="3" spans="1:9" x14ac:dyDescent="0.25">
      <c r="A3" t="s">
        <v>11</v>
      </c>
      <c r="B3" t="s">
        <v>12</v>
      </c>
      <c r="C3">
        <v>2023</v>
      </c>
      <c r="D3" t="s">
        <v>9</v>
      </c>
      <c r="E3">
        <v>201405.06</v>
      </c>
      <c r="F3" t="s">
        <v>10</v>
      </c>
      <c r="H3" t="str">
        <f>VLOOKUP(F3,Hoja1!$A$2:$B$8,2,0)</f>
        <v>Millones de dólares</v>
      </c>
      <c r="I3" t="str">
        <f t="shared" ref="I3:I66" si="0">IFERROR(IF(H3="Millones de dólares",E3/G3*100,E3),"")</f>
        <v/>
      </c>
    </row>
    <row r="4" spans="1:9" x14ac:dyDescent="0.25">
      <c r="A4" t="s">
        <v>13</v>
      </c>
      <c r="B4" t="s">
        <v>14</v>
      </c>
      <c r="C4">
        <v>2023</v>
      </c>
      <c r="D4" t="s">
        <v>9</v>
      </c>
      <c r="E4">
        <v>20950.57</v>
      </c>
      <c r="F4" t="s">
        <v>10</v>
      </c>
      <c r="H4" t="str">
        <f>VLOOKUP(F4,Hoja1!$A$2:$B$8,2,0)</f>
        <v>Millones de dólares</v>
      </c>
      <c r="I4" t="str">
        <f t="shared" si="0"/>
        <v/>
      </c>
    </row>
    <row r="5" spans="1:9" x14ac:dyDescent="0.25">
      <c r="A5" t="s">
        <v>15</v>
      </c>
      <c r="B5" t="s">
        <v>16</v>
      </c>
      <c r="C5">
        <v>2023</v>
      </c>
      <c r="D5" t="s">
        <v>9</v>
      </c>
      <c r="E5">
        <v>3703.11</v>
      </c>
      <c r="F5" t="s">
        <v>10</v>
      </c>
      <c r="H5" t="str">
        <f>VLOOKUP(F5,Hoja1!$A$2:$B$8,2,0)</f>
        <v>Millones de dólares</v>
      </c>
      <c r="I5" t="str">
        <f t="shared" si="0"/>
        <v/>
      </c>
    </row>
    <row r="6" spans="1:9" x14ac:dyDescent="0.25">
      <c r="A6" t="s">
        <v>17</v>
      </c>
      <c r="B6" t="s">
        <v>18</v>
      </c>
      <c r="C6">
        <v>2023</v>
      </c>
      <c r="D6" t="s">
        <v>9</v>
      </c>
      <c r="E6">
        <v>9516.41</v>
      </c>
      <c r="F6" t="s">
        <v>10</v>
      </c>
      <c r="H6" t="str">
        <f>VLOOKUP(F6,Hoja1!$A$2:$B$8,2,0)</f>
        <v>Millones de dólares</v>
      </c>
      <c r="I6" t="str">
        <f t="shared" si="0"/>
        <v/>
      </c>
    </row>
    <row r="7" spans="1:9" x14ac:dyDescent="0.25">
      <c r="A7" t="s">
        <v>19</v>
      </c>
      <c r="B7" t="s">
        <v>20</v>
      </c>
      <c r="C7">
        <v>2023</v>
      </c>
      <c r="D7" t="s">
        <v>9</v>
      </c>
      <c r="E7">
        <v>6931.3</v>
      </c>
      <c r="F7" t="s">
        <v>10</v>
      </c>
      <c r="H7" t="str">
        <f>VLOOKUP(F7,Hoja1!$A$2:$B$8,2,0)</f>
        <v>Millones de dólares</v>
      </c>
      <c r="I7" t="str">
        <f t="shared" si="0"/>
        <v/>
      </c>
    </row>
    <row r="8" spans="1:9" x14ac:dyDescent="0.25">
      <c r="A8" t="s">
        <v>21</v>
      </c>
      <c r="B8" t="s">
        <v>22</v>
      </c>
      <c r="C8">
        <v>2023</v>
      </c>
      <c r="D8" t="s">
        <v>9</v>
      </c>
      <c r="E8">
        <v>6326.71</v>
      </c>
      <c r="F8" t="s">
        <v>10</v>
      </c>
      <c r="H8" t="str">
        <f>VLOOKUP(F8,Hoja1!$A$2:$B$8,2,0)</f>
        <v>Millones de dólares</v>
      </c>
      <c r="I8" t="str">
        <f t="shared" si="0"/>
        <v/>
      </c>
    </row>
    <row r="9" spans="1:9" x14ac:dyDescent="0.25">
      <c r="A9" t="s">
        <v>23</v>
      </c>
      <c r="B9" t="s">
        <v>24</v>
      </c>
      <c r="C9">
        <v>2023</v>
      </c>
      <c r="D9" t="s">
        <v>9</v>
      </c>
      <c r="E9">
        <v>5867.78</v>
      </c>
      <c r="F9" t="s">
        <v>10</v>
      </c>
      <c r="H9" t="str">
        <f>VLOOKUP(F9,Hoja1!$A$2:$B$8,2,0)</f>
        <v>Millones de dólares</v>
      </c>
      <c r="I9" t="str">
        <f t="shared" si="0"/>
        <v/>
      </c>
    </row>
    <row r="10" spans="1:9" x14ac:dyDescent="0.25">
      <c r="A10" t="s">
        <v>25</v>
      </c>
      <c r="B10" t="s">
        <v>26</v>
      </c>
      <c r="C10">
        <v>2023</v>
      </c>
      <c r="D10" t="s">
        <v>9</v>
      </c>
      <c r="E10">
        <v>23968.51</v>
      </c>
      <c r="F10" t="s">
        <v>10</v>
      </c>
      <c r="H10" t="str">
        <f>VLOOKUP(F10,Hoja1!$A$2:$B$8,2,0)</f>
        <v>Millones de dólares</v>
      </c>
      <c r="I10" t="str">
        <f t="shared" si="0"/>
        <v/>
      </c>
    </row>
    <row r="11" spans="1:9" x14ac:dyDescent="0.25">
      <c r="A11" t="s">
        <v>27</v>
      </c>
      <c r="B11" t="s">
        <v>28</v>
      </c>
      <c r="C11">
        <v>2023</v>
      </c>
      <c r="D11" t="s">
        <v>9</v>
      </c>
      <c r="E11">
        <v>1921.59</v>
      </c>
      <c r="F11" t="s">
        <v>10</v>
      </c>
      <c r="H11" t="str">
        <f>VLOOKUP(F11,Hoja1!$A$2:$B$8,2,0)</f>
        <v>Millones de dólares</v>
      </c>
      <c r="I11" t="str">
        <f t="shared" si="0"/>
        <v/>
      </c>
    </row>
    <row r="12" spans="1:9" x14ac:dyDescent="0.25">
      <c r="A12" t="s">
        <v>29</v>
      </c>
      <c r="B12" t="s">
        <v>30</v>
      </c>
      <c r="C12">
        <v>2023</v>
      </c>
      <c r="D12" t="s">
        <v>9</v>
      </c>
      <c r="E12">
        <v>62334.14</v>
      </c>
      <c r="F12" t="s">
        <v>10</v>
      </c>
      <c r="H12" t="str">
        <f>VLOOKUP(F12,Hoja1!$A$2:$B$8,2,0)</f>
        <v>Millones de dólares</v>
      </c>
      <c r="I12" t="str">
        <f t="shared" si="0"/>
        <v/>
      </c>
    </row>
    <row r="13" spans="1:9" x14ac:dyDescent="0.25">
      <c r="A13" t="s">
        <v>31</v>
      </c>
      <c r="B13" t="s">
        <v>32</v>
      </c>
      <c r="C13">
        <v>2023</v>
      </c>
      <c r="D13" t="s">
        <v>9</v>
      </c>
      <c r="E13">
        <v>99799.39</v>
      </c>
      <c r="F13" t="s">
        <v>10</v>
      </c>
      <c r="H13" t="str">
        <f>VLOOKUP(F13,Hoja1!$A$2:$B$8,2,0)</f>
        <v>Millones de dólares</v>
      </c>
      <c r="I13" t="str">
        <f t="shared" si="0"/>
        <v/>
      </c>
    </row>
    <row r="14" spans="1:9" x14ac:dyDescent="0.25">
      <c r="A14" t="s">
        <v>33</v>
      </c>
      <c r="B14" t="s">
        <v>34</v>
      </c>
      <c r="C14">
        <v>2023</v>
      </c>
      <c r="D14" t="s">
        <v>9</v>
      </c>
      <c r="E14">
        <v>11659.53</v>
      </c>
      <c r="F14" t="s">
        <v>10</v>
      </c>
      <c r="H14" t="str">
        <f>VLOOKUP(F14,Hoja1!$A$2:$B$8,2,0)</f>
        <v>Millones de dólares</v>
      </c>
      <c r="I14" t="str">
        <f t="shared" si="0"/>
        <v/>
      </c>
    </row>
    <row r="15" spans="1:9" x14ac:dyDescent="0.25">
      <c r="A15" t="s">
        <v>35</v>
      </c>
      <c r="B15" t="s">
        <v>36</v>
      </c>
      <c r="C15">
        <v>2023</v>
      </c>
      <c r="D15" t="s">
        <v>9</v>
      </c>
      <c r="E15">
        <v>26005.49</v>
      </c>
      <c r="F15" t="s">
        <v>10</v>
      </c>
      <c r="H15" t="str">
        <f>VLOOKUP(F15,Hoja1!$A$2:$B$8,2,0)</f>
        <v>Millones de dólares</v>
      </c>
      <c r="I15" t="str">
        <f t="shared" si="0"/>
        <v/>
      </c>
    </row>
    <row r="16" spans="1:9" x14ac:dyDescent="0.25">
      <c r="A16" t="s">
        <v>37</v>
      </c>
      <c r="B16" t="s">
        <v>38</v>
      </c>
      <c r="C16">
        <v>2023</v>
      </c>
      <c r="D16" t="s">
        <v>9</v>
      </c>
      <c r="E16">
        <v>20292.82</v>
      </c>
      <c r="F16" t="s">
        <v>10</v>
      </c>
      <c r="H16" t="str">
        <f>VLOOKUP(F16,Hoja1!$A$2:$B$8,2,0)</f>
        <v>Millones de dólares</v>
      </c>
      <c r="I16" t="str">
        <f t="shared" si="0"/>
        <v/>
      </c>
    </row>
    <row r="17" spans="1:9" x14ac:dyDescent="0.25">
      <c r="A17" t="s">
        <v>39</v>
      </c>
      <c r="B17" t="s">
        <v>40</v>
      </c>
      <c r="C17">
        <v>2023</v>
      </c>
      <c r="D17" t="s">
        <v>9</v>
      </c>
      <c r="E17">
        <v>62493.11</v>
      </c>
      <c r="F17" t="s">
        <v>10</v>
      </c>
      <c r="H17" t="str">
        <f>VLOOKUP(F17,Hoja1!$A$2:$B$8,2,0)</f>
        <v>Millones de dólares</v>
      </c>
      <c r="I17" t="str">
        <f t="shared" si="0"/>
        <v/>
      </c>
    </row>
    <row r="18" spans="1:9" x14ac:dyDescent="0.25">
      <c r="A18" t="s">
        <v>41</v>
      </c>
      <c r="B18" t="s">
        <v>42</v>
      </c>
      <c r="C18">
        <v>2023</v>
      </c>
      <c r="D18" t="s">
        <v>9</v>
      </c>
      <c r="E18">
        <v>19049.38</v>
      </c>
      <c r="F18" t="s">
        <v>10</v>
      </c>
      <c r="H18" t="str">
        <f>VLOOKUP(F18,Hoja1!$A$2:$B$8,2,0)</f>
        <v>Millones de dólares</v>
      </c>
      <c r="I18" t="str">
        <f t="shared" si="0"/>
        <v/>
      </c>
    </row>
    <row r="19" spans="1:9" x14ac:dyDescent="0.25">
      <c r="A19" t="s">
        <v>43</v>
      </c>
      <c r="B19" t="s">
        <v>44</v>
      </c>
      <c r="C19">
        <v>2023</v>
      </c>
      <c r="D19" t="s">
        <v>9</v>
      </c>
      <c r="E19">
        <v>22358.639999999999</v>
      </c>
      <c r="F19" t="s">
        <v>10</v>
      </c>
      <c r="H19" t="str">
        <f>VLOOKUP(F19,Hoja1!$A$2:$B$8,2,0)</f>
        <v>Millones de dólares</v>
      </c>
      <c r="I19" t="str">
        <f t="shared" si="0"/>
        <v/>
      </c>
    </row>
    <row r="20" spans="1:9" x14ac:dyDescent="0.25">
      <c r="A20" t="s">
        <v>45</v>
      </c>
      <c r="B20" t="s">
        <v>46</v>
      </c>
      <c r="C20">
        <v>2023</v>
      </c>
      <c r="D20" t="s">
        <v>9</v>
      </c>
      <c r="E20">
        <v>22580.73</v>
      </c>
      <c r="F20" t="s">
        <v>10</v>
      </c>
      <c r="H20" t="str">
        <f>VLOOKUP(F20,Hoja1!$A$2:$B$8,2,0)</f>
        <v>Millones de dólares</v>
      </c>
      <c r="I20" t="str">
        <f t="shared" si="0"/>
        <v/>
      </c>
    </row>
    <row r="21" spans="1:9" x14ac:dyDescent="0.25">
      <c r="A21" t="s">
        <v>47</v>
      </c>
      <c r="B21" t="s">
        <v>48</v>
      </c>
      <c r="C21">
        <v>2023</v>
      </c>
      <c r="D21" t="s">
        <v>9</v>
      </c>
      <c r="E21">
        <v>38036.35</v>
      </c>
      <c r="F21" t="s">
        <v>10</v>
      </c>
      <c r="H21" t="str">
        <f>VLOOKUP(F21,Hoja1!$A$2:$B$8,2,0)</f>
        <v>Millones de dólares</v>
      </c>
      <c r="I21" t="str">
        <f t="shared" si="0"/>
        <v/>
      </c>
    </row>
    <row r="22" spans="1:9" x14ac:dyDescent="0.25">
      <c r="A22" t="s">
        <v>49</v>
      </c>
      <c r="B22" t="s">
        <v>50</v>
      </c>
      <c r="C22">
        <v>2023</v>
      </c>
      <c r="D22" t="s">
        <v>9</v>
      </c>
      <c r="E22">
        <v>76631.89</v>
      </c>
      <c r="F22" t="s">
        <v>10</v>
      </c>
      <c r="H22" t="str">
        <f>VLOOKUP(F22,Hoja1!$A$2:$B$8,2,0)</f>
        <v>Millones de dólares</v>
      </c>
      <c r="I22" t="str">
        <f t="shared" si="0"/>
        <v/>
      </c>
    </row>
    <row r="23" spans="1:9" x14ac:dyDescent="0.25">
      <c r="A23" t="s">
        <v>51</v>
      </c>
      <c r="B23" t="s">
        <v>52</v>
      </c>
      <c r="C23">
        <v>2023</v>
      </c>
      <c r="D23" t="s">
        <v>9</v>
      </c>
      <c r="E23">
        <v>10019.61</v>
      </c>
      <c r="F23" t="s">
        <v>10</v>
      </c>
      <c r="H23" t="str">
        <f>VLOOKUP(F23,Hoja1!$A$2:$B$8,2,0)</f>
        <v>Millones de dólares</v>
      </c>
      <c r="I23" t="str">
        <f t="shared" si="0"/>
        <v/>
      </c>
    </row>
    <row r="24" spans="1:9" x14ac:dyDescent="0.25">
      <c r="A24" t="s">
        <v>53</v>
      </c>
      <c r="B24" t="s">
        <v>54</v>
      </c>
      <c r="C24">
        <v>2023</v>
      </c>
      <c r="D24" t="s">
        <v>9</v>
      </c>
      <c r="E24">
        <v>6012.89</v>
      </c>
      <c r="F24" t="s">
        <v>10</v>
      </c>
      <c r="H24" t="str">
        <f>VLOOKUP(F24,Hoja1!$A$2:$B$8,2,0)</f>
        <v>Millones de dólares</v>
      </c>
      <c r="I24" t="str">
        <f t="shared" si="0"/>
        <v/>
      </c>
    </row>
    <row r="25" spans="1:9" x14ac:dyDescent="0.25">
      <c r="A25" t="s">
        <v>55</v>
      </c>
      <c r="B25" t="s">
        <v>56</v>
      </c>
      <c r="C25">
        <v>2023</v>
      </c>
      <c r="D25" t="s">
        <v>9</v>
      </c>
      <c r="E25">
        <v>4684.34</v>
      </c>
      <c r="F25" t="s">
        <v>10</v>
      </c>
      <c r="H25" t="str">
        <f>VLOOKUP(F25,Hoja1!$A$2:$B$8,2,0)</f>
        <v>Millones de dólares</v>
      </c>
      <c r="I25" t="str">
        <f t="shared" si="0"/>
        <v/>
      </c>
    </row>
    <row r="26" spans="1:9" x14ac:dyDescent="0.25">
      <c r="A26" t="s">
        <v>57</v>
      </c>
      <c r="B26" t="s">
        <v>58</v>
      </c>
      <c r="C26">
        <v>2023</v>
      </c>
      <c r="D26" t="s">
        <v>9</v>
      </c>
      <c r="E26">
        <v>5540.42</v>
      </c>
      <c r="F26" t="s">
        <v>10</v>
      </c>
      <c r="H26" t="str">
        <f>VLOOKUP(F26,Hoja1!$A$2:$B$8,2,0)</f>
        <v>Millones de dólares</v>
      </c>
      <c r="I26" t="str">
        <f t="shared" si="0"/>
        <v/>
      </c>
    </row>
    <row r="27" spans="1:9" x14ac:dyDescent="0.25">
      <c r="A27" t="s">
        <v>7</v>
      </c>
      <c r="B27" t="s">
        <v>8</v>
      </c>
      <c r="C27">
        <v>2023</v>
      </c>
      <c r="D27" t="s">
        <v>59</v>
      </c>
      <c r="E27">
        <v>60219.28</v>
      </c>
      <c r="F27" t="s">
        <v>10</v>
      </c>
      <c r="G27">
        <v>142.91079324044</v>
      </c>
      <c r="H27" t="str">
        <f>VLOOKUP(F27,Hoja1!$A$2:$B$8,2,0)</f>
        <v>Millones de dólares</v>
      </c>
      <c r="I27">
        <f t="shared" si="0"/>
        <v>42137.671084565445</v>
      </c>
    </row>
    <row r="28" spans="1:9" x14ac:dyDescent="0.25">
      <c r="A28" t="s">
        <v>11</v>
      </c>
      <c r="B28" t="s">
        <v>12</v>
      </c>
      <c r="C28">
        <v>2023</v>
      </c>
      <c r="D28" t="s">
        <v>59</v>
      </c>
      <c r="E28">
        <v>24144.65</v>
      </c>
      <c r="F28" t="s">
        <v>10</v>
      </c>
      <c r="G28">
        <v>150.08579535058001</v>
      </c>
      <c r="H28" t="str">
        <f>VLOOKUP(F28,Hoja1!$A$2:$B$8,2,0)</f>
        <v>Millones de dólares</v>
      </c>
      <c r="I28">
        <f t="shared" si="0"/>
        <v>16087.231935308322</v>
      </c>
    </row>
    <row r="29" spans="1:9" x14ac:dyDescent="0.25">
      <c r="A29" t="s">
        <v>13</v>
      </c>
      <c r="B29" t="s">
        <v>14</v>
      </c>
      <c r="C29">
        <v>2023</v>
      </c>
      <c r="D29" t="s">
        <v>59</v>
      </c>
      <c r="E29">
        <v>4015.59</v>
      </c>
      <c r="F29" t="s">
        <v>10</v>
      </c>
      <c r="G29">
        <v>129.0410448209</v>
      </c>
      <c r="H29" t="str">
        <f>VLOOKUP(F29,Hoja1!$A$2:$B$8,2,0)</f>
        <v>Millones de dólares</v>
      </c>
      <c r="I29">
        <f t="shared" si="0"/>
        <v>3111.8703398390489</v>
      </c>
    </row>
    <row r="30" spans="1:9" x14ac:dyDescent="0.25">
      <c r="A30" t="s">
        <v>17</v>
      </c>
      <c r="B30" t="s">
        <v>18</v>
      </c>
      <c r="C30">
        <v>2023</v>
      </c>
      <c r="D30" t="s">
        <v>59</v>
      </c>
      <c r="E30">
        <v>158.09</v>
      </c>
      <c r="F30" t="s">
        <v>10</v>
      </c>
      <c r="G30">
        <v>69.851283274747999</v>
      </c>
      <c r="H30" t="str">
        <f>VLOOKUP(F30,Hoja1!$A$2:$B$8,2,0)</f>
        <v>Millones de dólares</v>
      </c>
      <c r="I30">
        <f t="shared" si="0"/>
        <v>226.32368739480447</v>
      </c>
    </row>
    <row r="31" spans="1:9" x14ac:dyDescent="0.25">
      <c r="A31" t="s">
        <v>19</v>
      </c>
      <c r="B31" t="s">
        <v>20</v>
      </c>
      <c r="C31">
        <v>2023</v>
      </c>
      <c r="D31" t="s">
        <v>59</v>
      </c>
      <c r="E31">
        <v>64.400000000000006</v>
      </c>
      <c r="F31" t="s">
        <v>10</v>
      </c>
      <c r="G31">
        <v>69.851283274747999</v>
      </c>
      <c r="H31" t="str">
        <f>VLOOKUP(F31,Hoja1!$A$2:$B$8,2,0)</f>
        <v>Millones de dólares</v>
      </c>
      <c r="I31">
        <f t="shared" si="0"/>
        <v>92.195872403222268</v>
      </c>
    </row>
    <row r="32" spans="1:9" x14ac:dyDescent="0.25">
      <c r="A32" t="s">
        <v>21</v>
      </c>
      <c r="B32" t="s">
        <v>22</v>
      </c>
      <c r="C32">
        <v>2023</v>
      </c>
      <c r="D32" t="s">
        <v>59</v>
      </c>
      <c r="E32">
        <v>25.5</v>
      </c>
      <c r="F32" t="s">
        <v>10</v>
      </c>
      <c r="G32">
        <v>69.851283274747999</v>
      </c>
      <c r="H32" t="str">
        <f>VLOOKUP(F32,Hoja1!$A$2:$B$8,2,0)</f>
        <v>Millones de dólares</v>
      </c>
      <c r="I32">
        <f t="shared" si="0"/>
        <v>36.506129600654781</v>
      </c>
    </row>
    <row r="33" spans="1:9" x14ac:dyDescent="0.25">
      <c r="A33" t="s">
        <v>23</v>
      </c>
      <c r="B33" t="s">
        <v>24</v>
      </c>
      <c r="C33">
        <v>2023</v>
      </c>
      <c r="D33" t="s">
        <v>59</v>
      </c>
      <c r="E33">
        <v>2068.8000000000002</v>
      </c>
      <c r="F33" t="s">
        <v>10</v>
      </c>
      <c r="G33">
        <v>130.15281667511999</v>
      </c>
      <c r="H33" t="str">
        <f>VLOOKUP(F33,Hoja1!$A$2:$B$8,2,0)</f>
        <v>Millones de dólares</v>
      </c>
      <c r="I33">
        <f t="shared" si="0"/>
        <v>1589.5161187053066</v>
      </c>
    </row>
    <row r="34" spans="1:9" x14ac:dyDescent="0.25">
      <c r="A34" t="s">
        <v>25</v>
      </c>
      <c r="B34" t="s">
        <v>26</v>
      </c>
      <c r="C34">
        <v>2023</v>
      </c>
      <c r="D34" t="s">
        <v>59</v>
      </c>
      <c r="E34">
        <v>2804.53</v>
      </c>
      <c r="F34" t="s">
        <v>10</v>
      </c>
      <c r="G34">
        <v>89.311059064592001</v>
      </c>
      <c r="H34" t="str">
        <f>VLOOKUP(F34,Hoja1!$A$2:$B$8,2,0)</f>
        <v>Millones de dólares</v>
      </c>
      <c r="I34">
        <f t="shared" si="0"/>
        <v>3140.1822230903049</v>
      </c>
    </row>
    <row r="35" spans="1:9" x14ac:dyDescent="0.25">
      <c r="A35" t="s">
        <v>27</v>
      </c>
      <c r="B35" t="s">
        <v>28</v>
      </c>
      <c r="C35">
        <v>2023</v>
      </c>
      <c r="D35" t="s">
        <v>59</v>
      </c>
      <c r="E35">
        <v>197.76</v>
      </c>
      <c r="F35" t="s">
        <v>10</v>
      </c>
      <c r="G35">
        <v>89.311059064592001</v>
      </c>
      <c r="H35" t="str">
        <f>VLOOKUP(F35,Hoja1!$A$2:$B$8,2,0)</f>
        <v>Millones de dólares</v>
      </c>
      <c r="I35">
        <f t="shared" si="0"/>
        <v>221.42834501265401</v>
      </c>
    </row>
    <row r="36" spans="1:9" x14ac:dyDescent="0.25">
      <c r="A36" t="s">
        <v>31</v>
      </c>
      <c r="B36" t="s">
        <v>32</v>
      </c>
      <c r="C36">
        <v>2023</v>
      </c>
      <c r="D36" t="s">
        <v>59</v>
      </c>
      <c r="E36">
        <v>12427.37</v>
      </c>
      <c r="F36" t="s">
        <v>10</v>
      </c>
      <c r="G36">
        <v>179.38969123864001</v>
      </c>
      <c r="H36" t="str">
        <f>VLOOKUP(F36,Hoja1!$A$2:$B$8,2,0)</f>
        <v>Millones de dólares</v>
      </c>
      <c r="I36">
        <f t="shared" si="0"/>
        <v>6927.5831371313388</v>
      </c>
    </row>
    <row r="37" spans="1:9" x14ac:dyDescent="0.25">
      <c r="A37" t="s">
        <v>33</v>
      </c>
      <c r="B37" t="s">
        <v>34</v>
      </c>
      <c r="C37">
        <v>2023</v>
      </c>
      <c r="D37" t="s">
        <v>59</v>
      </c>
      <c r="E37">
        <v>744.69</v>
      </c>
      <c r="F37" t="s">
        <v>10</v>
      </c>
      <c r="G37">
        <v>179.38969123864001</v>
      </c>
      <c r="H37" t="str">
        <f>VLOOKUP(F37,Hoja1!$A$2:$B$8,2,0)</f>
        <v>Millones de dólares</v>
      </c>
      <c r="I37">
        <f t="shared" si="0"/>
        <v>415.12418849606451</v>
      </c>
    </row>
    <row r="38" spans="1:9" x14ac:dyDescent="0.25">
      <c r="A38" t="s">
        <v>35</v>
      </c>
      <c r="B38" t="s">
        <v>36</v>
      </c>
      <c r="C38">
        <v>2023</v>
      </c>
      <c r="D38" t="s">
        <v>59</v>
      </c>
      <c r="E38">
        <v>2004.2</v>
      </c>
      <c r="F38" t="s">
        <v>10</v>
      </c>
      <c r="G38">
        <v>179.38969123864001</v>
      </c>
      <c r="H38" t="str">
        <f>VLOOKUP(F38,Hoja1!$A$2:$B$8,2,0)</f>
        <v>Millones de dólares</v>
      </c>
      <c r="I38">
        <f t="shared" si="0"/>
        <v>1117.2325378127978</v>
      </c>
    </row>
    <row r="39" spans="1:9" x14ac:dyDescent="0.25">
      <c r="A39" t="s">
        <v>37</v>
      </c>
      <c r="B39" t="s">
        <v>38</v>
      </c>
      <c r="C39">
        <v>2023</v>
      </c>
      <c r="D39" t="s">
        <v>59</v>
      </c>
      <c r="E39">
        <v>2302.0300000000002</v>
      </c>
      <c r="F39" t="s">
        <v>10</v>
      </c>
      <c r="G39">
        <v>137.65188865636</v>
      </c>
      <c r="H39" t="str">
        <f>VLOOKUP(F39,Hoja1!$A$2:$B$8,2,0)</f>
        <v>Millones de dólares</v>
      </c>
      <c r="I39">
        <f t="shared" si="0"/>
        <v>1672.3562767430569</v>
      </c>
    </row>
    <row r="40" spans="1:9" x14ac:dyDescent="0.25">
      <c r="A40" t="s">
        <v>39</v>
      </c>
      <c r="B40" t="s">
        <v>40</v>
      </c>
      <c r="C40">
        <v>2023</v>
      </c>
      <c r="D40" t="s">
        <v>59</v>
      </c>
      <c r="E40">
        <v>2214.38</v>
      </c>
      <c r="F40" t="s">
        <v>10</v>
      </c>
      <c r="G40">
        <v>140.40843314838</v>
      </c>
      <c r="H40" t="str">
        <f>VLOOKUP(F40,Hoja1!$A$2:$B$8,2,0)</f>
        <v>Millones de dólares</v>
      </c>
      <c r="I40">
        <f t="shared" si="0"/>
        <v>1577.0990034906954</v>
      </c>
    </row>
    <row r="41" spans="1:9" x14ac:dyDescent="0.25">
      <c r="A41" t="s">
        <v>41</v>
      </c>
      <c r="B41" t="s">
        <v>42</v>
      </c>
      <c r="C41">
        <v>2023</v>
      </c>
      <c r="D41" t="s">
        <v>59</v>
      </c>
      <c r="E41">
        <v>1477.01</v>
      </c>
      <c r="F41" t="s">
        <v>10</v>
      </c>
      <c r="G41">
        <v>140.40843314838</v>
      </c>
      <c r="H41" t="str">
        <f>VLOOKUP(F41,Hoja1!$A$2:$B$8,2,0)</f>
        <v>Millones de dólares</v>
      </c>
      <c r="I41">
        <f t="shared" si="0"/>
        <v>1051.9382396633785</v>
      </c>
    </row>
    <row r="42" spans="1:9" x14ac:dyDescent="0.25">
      <c r="A42" t="s">
        <v>43</v>
      </c>
      <c r="B42" t="s">
        <v>44</v>
      </c>
      <c r="C42">
        <v>2023</v>
      </c>
      <c r="D42" t="s">
        <v>59</v>
      </c>
      <c r="E42">
        <v>12.67</v>
      </c>
      <c r="F42" t="s">
        <v>10</v>
      </c>
      <c r="G42">
        <v>140.40843314838</v>
      </c>
      <c r="H42" t="str">
        <f>VLOOKUP(F42,Hoja1!$A$2:$B$8,2,0)</f>
        <v>Millones de dólares</v>
      </c>
      <c r="I42">
        <f t="shared" si="0"/>
        <v>9.0236745157683451</v>
      </c>
    </row>
    <row r="43" spans="1:9" x14ac:dyDescent="0.25">
      <c r="A43" t="s">
        <v>45</v>
      </c>
      <c r="B43" t="s">
        <v>46</v>
      </c>
      <c r="C43">
        <v>2023</v>
      </c>
      <c r="D43" t="s">
        <v>59</v>
      </c>
      <c r="E43">
        <v>832.13</v>
      </c>
      <c r="F43" t="s">
        <v>10</v>
      </c>
      <c r="G43">
        <v>140.40843314838</v>
      </c>
      <c r="H43" t="str">
        <f>VLOOKUP(F43,Hoja1!$A$2:$B$8,2,0)</f>
        <v>Millones de dólares</v>
      </c>
      <c r="I43">
        <f t="shared" si="0"/>
        <v>592.64958759323702</v>
      </c>
    </row>
    <row r="44" spans="1:9" x14ac:dyDescent="0.25">
      <c r="A44" t="s">
        <v>47</v>
      </c>
      <c r="B44" t="s">
        <v>48</v>
      </c>
      <c r="C44">
        <v>2023</v>
      </c>
      <c r="D44" t="s">
        <v>59</v>
      </c>
      <c r="E44">
        <v>432.91</v>
      </c>
      <c r="F44" t="s">
        <v>10</v>
      </c>
      <c r="G44">
        <v>140.40843314838</v>
      </c>
      <c r="H44" t="str">
        <f>VLOOKUP(F44,Hoja1!$A$2:$B$8,2,0)</f>
        <v>Millones de dólares</v>
      </c>
      <c r="I44">
        <f t="shared" si="0"/>
        <v>308.32193643419691</v>
      </c>
    </row>
    <row r="45" spans="1:9" x14ac:dyDescent="0.25">
      <c r="A45" t="s">
        <v>49</v>
      </c>
      <c r="B45" t="s">
        <v>50</v>
      </c>
      <c r="C45">
        <v>2023</v>
      </c>
      <c r="D45" t="s">
        <v>59</v>
      </c>
      <c r="E45">
        <v>97.9</v>
      </c>
      <c r="F45" t="s">
        <v>10</v>
      </c>
      <c r="G45">
        <v>142.91079324044</v>
      </c>
      <c r="H45" t="str">
        <f>VLOOKUP(F45,Hoja1!$A$2:$B$8,2,0)</f>
        <v>Millones de dólares</v>
      </c>
      <c r="I45">
        <f t="shared" si="0"/>
        <v>68.504273036458713</v>
      </c>
    </row>
    <row r="46" spans="1:9" x14ac:dyDescent="0.25">
      <c r="A46" t="s">
        <v>51</v>
      </c>
      <c r="B46" t="s">
        <v>52</v>
      </c>
      <c r="C46">
        <v>2023</v>
      </c>
      <c r="D46" t="s">
        <v>59</v>
      </c>
      <c r="E46">
        <v>32.04</v>
      </c>
      <c r="F46" t="s">
        <v>10</v>
      </c>
      <c r="G46">
        <v>140.40843314838</v>
      </c>
      <c r="H46" t="str">
        <f>VLOOKUP(F46,Hoja1!$A$2:$B$8,2,0)</f>
        <v>Millones de dólares</v>
      </c>
      <c r="I46">
        <f t="shared" si="0"/>
        <v>22.819142185100063</v>
      </c>
    </row>
    <row r="47" spans="1:9" x14ac:dyDescent="0.25">
      <c r="A47" t="s">
        <v>53</v>
      </c>
      <c r="B47" t="s">
        <v>54</v>
      </c>
      <c r="C47">
        <v>2023</v>
      </c>
      <c r="D47" t="s">
        <v>59</v>
      </c>
      <c r="E47">
        <v>377.37</v>
      </c>
      <c r="F47" t="s">
        <v>10</v>
      </c>
      <c r="G47">
        <v>130.15281667511999</v>
      </c>
      <c r="H47" t="str">
        <f>VLOOKUP(F47,Hoja1!$A$2:$B$8,2,0)</f>
        <v>Millones de dólares</v>
      </c>
      <c r="I47">
        <f t="shared" si="0"/>
        <v>289.94378273193229</v>
      </c>
    </row>
    <row r="48" spans="1:9" x14ac:dyDescent="0.25">
      <c r="A48" t="s">
        <v>55</v>
      </c>
      <c r="B48" t="s">
        <v>56</v>
      </c>
      <c r="C48">
        <v>2023</v>
      </c>
      <c r="D48" t="s">
        <v>59</v>
      </c>
      <c r="E48">
        <v>81.81</v>
      </c>
      <c r="F48" t="s">
        <v>10</v>
      </c>
      <c r="G48">
        <v>142.91079324044</v>
      </c>
      <c r="H48" t="str">
        <f>VLOOKUP(F48,Hoja1!$A$2:$B$8,2,0)</f>
        <v>Millones de dólares</v>
      </c>
      <c r="I48">
        <f t="shared" si="0"/>
        <v>57.24550129839313</v>
      </c>
    </row>
    <row r="49" spans="1:9" x14ac:dyDescent="0.25">
      <c r="A49" t="s">
        <v>57</v>
      </c>
      <c r="B49" t="s">
        <v>58</v>
      </c>
      <c r="C49">
        <v>2023</v>
      </c>
      <c r="D49" t="s">
        <v>59</v>
      </c>
      <c r="E49">
        <v>664.11</v>
      </c>
      <c r="F49" t="s">
        <v>10</v>
      </c>
      <c r="G49">
        <v>142.91079324044</v>
      </c>
      <c r="H49" t="str">
        <f>VLOOKUP(F49,Hoja1!$A$2:$B$8,2,0)</f>
        <v>Millones de dólares</v>
      </c>
      <c r="I49">
        <f t="shared" si="0"/>
        <v>464.7024797369009</v>
      </c>
    </row>
    <row r="50" spans="1:9" x14ac:dyDescent="0.25">
      <c r="A50" t="s">
        <v>60</v>
      </c>
      <c r="B50" t="s">
        <v>61</v>
      </c>
      <c r="C50">
        <v>2023</v>
      </c>
      <c r="D50" t="s">
        <v>59</v>
      </c>
      <c r="E50">
        <v>3039.34</v>
      </c>
      <c r="F50" t="s">
        <v>10</v>
      </c>
      <c r="G50">
        <v>142.91079324044</v>
      </c>
      <c r="H50" t="str">
        <f>VLOOKUP(F50,Hoja1!$A$2:$B$8,2,0)</f>
        <v>Millones de dólares</v>
      </c>
      <c r="I50">
        <f t="shared" si="0"/>
        <v>2126.7392973506685</v>
      </c>
    </row>
    <row r="51" spans="1:9" x14ac:dyDescent="0.25">
      <c r="A51" t="s">
        <v>7</v>
      </c>
      <c r="B51" t="s">
        <v>8</v>
      </c>
      <c r="C51">
        <v>2023</v>
      </c>
      <c r="D51" t="s">
        <v>62</v>
      </c>
      <c r="E51">
        <v>33604.44</v>
      </c>
      <c r="F51" t="s">
        <v>10</v>
      </c>
      <c r="G51">
        <v>113.1</v>
      </c>
      <c r="H51" t="str">
        <f>VLOOKUP(F51,Hoja1!$A$2:$B$8,2,0)</f>
        <v>Millones de dólares</v>
      </c>
      <c r="I51">
        <f t="shared" si="0"/>
        <v>29712.14854111406</v>
      </c>
    </row>
    <row r="52" spans="1:9" x14ac:dyDescent="0.25">
      <c r="A52" t="s">
        <v>11</v>
      </c>
      <c r="B52" t="s">
        <v>12</v>
      </c>
      <c r="C52">
        <v>2023</v>
      </c>
      <c r="D52" t="s">
        <v>62</v>
      </c>
      <c r="E52">
        <v>15091.41</v>
      </c>
      <c r="F52" t="s">
        <v>10</v>
      </c>
      <c r="G52">
        <v>114.9804580639055</v>
      </c>
      <c r="H52" t="str">
        <f>VLOOKUP(F52,Hoja1!$A$2:$B$8,2,0)</f>
        <v>Millones de dólares</v>
      </c>
      <c r="I52">
        <f t="shared" si="0"/>
        <v>13125.195580289199</v>
      </c>
    </row>
    <row r="53" spans="1:9" x14ac:dyDescent="0.25">
      <c r="A53" t="s">
        <v>13</v>
      </c>
      <c r="B53" t="s">
        <v>14</v>
      </c>
      <c r="C53">
        <v>2023</v>
      </c>
      <c r="D53" t="s">
        <v>62</v>
      </c>
      <c r="E53">
        <v>959.58</v>
      </c>
      <c r="F53" t="s">
        <v>10</v>
      </c>
      <c r="G53">
        <v>106.29477728169449</v>
      </c>
      <c r="H53" t="str">
        <f>VLOOKUP(F53,Hoja1!$A$2:$B$8,2,0)</f>
        <v>Millones de dólares</v>
      </c>
      <c r="I53">
        <f t="shared" si="0"/>
        <v>902.75366724462174</v>
      </c>
    </row>
    <row r="54" spans="1:9" x14ac:dyDescent="0.25">
      <c r="A54" t="s">
        <v>17</v>
      </c>
      <c r="B54" t="s">
        <v>18</v>
      </c>
      <c r="C54">
        <v>2023</v>
      </c>
      <c r="D54" t="s">
        <v>62</v>
      </c>
      <c r="E54">
        <v>414.01</v>
      </c>
      <c r="F54" t="s">
        <v>10</v>
      </c>
      <c r="G54">
        <v>112.5907184615296</v>
      </c>
      <c r="H54" t="str">
        <f>VLOOKUP(F54,Hoja1!$A$2:$B$8,2,0)</f>
        <v>Millones de dólares</v>
      </c>
      <c r="I54">
        <f t="shared" si="0"/>
        <v>367.71237066176138</v>
      </c>
    </row>
    <row r="55" spans="1:9" x14ac:dyDescent="0.25">
      <c r="A55" t="s">
        <v>19</v>
      </c>
      <c r="B55" t="s">
        <v>20</v>
      </c>
      <c r="C55">
        <v>2023</v>
      </c>
      <c r="D55" t="s">
        <v>62</v>
      </c>
      <c r="E55">
        <v>183.54</v>
      </c>
      <c r="F55" t="s">
        <v>10</v>
      </c>
      <c r="G55">
        <v>109.28697630462941</v>
      </c>
      <c r="H55" t="str">
        <f>VLOOKUP(F55,Hoja1!$A$2:$B$8,2,0)</f>
        <v>Millones de dólares</v>
      </c>
      <c r="I55">
        <f t="shared" si="0"/>
        <v>167.94315865084943</v>
      </c>
    </row>
    <row r="56" spans="1:9" x14ac:dyDescent="0.25">
      <c r="A56" t="s">
        <v>21</v>
      </c>
      <c r="B56" t="s">
        <v>22</v>
      </c>
      <c r="C56">
        <v>2023</v>
      </c>
      <c r="D56" t="s">
        <v>62</v>
      </c>
      <c r="E56">
        <v>231.16</v>
      </c>
      <c r="F56" t="s">
        <v>10</v>
      </c>
      <c r="G56">
        <v>106.2037461670578</v>
      </c>
      <c r="H56" t="str">
        <f>VLOOKUP(F56,Hoja1!$A$2:$B$8,2,0)</f>
        <v>Millones de dólares</v>
      </c>
      <c r="I56">
        <f t="shared" si="0"/>
        <v>217.65710565085607</v>
      </c>
    </row>
    <row r="57" spans="1:9" x14ac:dyDescent="0.25">
      <c r="A57" t="s">
        <v>23</v>
      </c>
      <c r="B57" t="s">
        <v>24</v>
      </c>
      <c r="C57">
        <v>2023</v>
      </c>
      <c r="D57" t="s">
        <v>62</v>
      </c>
      <c r="E57">
        <v>408.65</v>
      </c>
      <c r="F57" t="s">
        <v>10</v>
      </c>
      <c r="G57">
        <v>100.1653065390686</v>
      </c>
      <c r="H57" t="str">
        <f>VLOOKUP(F57,Hoja1!$A$2:$B$8,2,0)</f>
        <v>Millones de dólares</v>
      </c>
      <c r="I57">
        <f t="shared" si="0"/>
        <v>407.97558967246772</v>
      </c>
    </row>
    <row r="58" spans="1:9" x14ac:dyDescent="0.25">
      <c r="A58" t="s">
        <v>25</v>
      </c>
      <c r="B58" t="s">
        <v>26</v>
      </c>
      <c r="C58">
        <v>2023</v>
      </c>
      <c r="D58" t="s">
        <v>62</v>
      </c>
      <c r="E58">
        <v>1516.46</v>
      </c>
      <c r="F58" t="s">
        <v>10</v>
      </c>
      <c r="G58">
        <v>88.55771450914564</v>
      </c>
      <c r="H58" t="str">
        <f>VLOOKUP(F58,Hoja1!$A$2:$B$8,2,0)</f>
        <v>Millones de dólares</v>
      </c>
      <c r="I58">
        <f t="shared" si="0"/>
        <v>1712.3973991485411</v>
      </c>
    </row>
    <row r="59" spans="1:9" x14ac:dyDescent="0.25">
      <c r="A59" t="s">
        <v>27</v>
      </c>
      <c r="B59" t="s">
        <v>28</v>
      </c>
      <c r="C59">
        <v>2023</v>
      </c>
      <c r="D59" t="s">
        <v>62</v>
      </c>
      <c r="E59">
        <v>128.31</v>
      </c>
      <c r="F59" t="s">
        <v>10</v>
      </c>
      <c r="G59">
        <v>136.11617005701791</v>
      </c>
      <c r="H59" t="str">
        <f>VLOOKUP(F59,Hoja1!$A$2:$B$8,2,0)</f>
        <v>Millones de dólares</v>
      </c>
      <c r="I59">
        <f t="shared" si="0"/>
        <v>94.265067806603753</v>
      </c>
    </row>
    <row r="60" spans="1:9" x14ac:dyDescent="0.25">
      <c r="A60" t="s">
        <v>29</v>
      </c>
      <c r="B60" t="s">
        <v>30</v>
      </c>
      <c r="C60">
        <v>2023</v>
      </c>
      <c r="D60" t="s">
        <v>62</v>
      </c>
      <c r="E60">
        <v>7373.92</v>
      </c>
      <c r="F60" t="s">
        <v>10</v>
      </c>
      <c r="G60">
        <v>100.24856061097501</v>
      </c>
      <c r="H60" t="str">
        <f>VLOOKUP(F60,Hoja1!$A$2:$B$8,2,0)</f>
        <v>Millones de dólares</v>
      </c>
      <c r="I60">
        <f t="shared" si="0"/>
        <v>7355.636784267921</v>
      </c>
    </row>
    <row r="61" spans="1:9" x14ac:dyDescent="0.25">
      <c r="A61" t="s">
        <v>31</v>
      </c>
      <c r="B61" t="s">
        <v>32</v>
      </c>
      <c r="C61">
        <v>2023</v>
      </c>
      <c r="D61" t="s">
        <v>62</v>
      </c>
      <c r="E61">
        <v>1285.27</v>
      </c>
      <c r="F61" t="s">
        <v>10</v>
      </c>
      <c r="G61">
        <v>99.157550875022267</v>
      </c>
      <c r="H61" t="str">
        <f>VLOOKUP(F61,Hoja1!$A$2:$B$8,2,0)</f>
        <v>Millones de dólares</v>
      </c>
      <c r="I61">
        <f t="shared" si="0"/>
        <v>1296.1897391152274</v>
      </c>
    </row>
    <row r="62" spans="1:9" x14ac:dyDescent="0.25">
      <c r="A62" t="s">
        <v>33</v>
      </c>
      <c r="B62" t="s">
        <v>34</v>
      </c>
      <c r="C62">
        <v>2023</v>
      </c>
      <c r="D62" t="s">
        <v>62</v>
      </c>
      <c r="E62">
        <v>303.2</v>
      </c>
      <c r="F62" t="s">
        <v>10</v>
      </c>
      <c r="G62">
        <v>100.3225939694341</v>
      </c>
      <c r="H62" t="str">
        <f>VLOOKUP(F62,Hoja1!$A$2:$B$8,2,0)</f>
        <v>Millones de dólares</v>
      </c>
      <c r="I62">
        <f t="shared" si="0"/>
        <v>302.22504024604643</v>
      </c>
    </row>
    <row r="63" spans="1:9" x14ac:dyDescent="0.25">
      <c r="A63" t="s">
        <v>35</v>
      </c>
      <c r="B63" t="s">
        <v>36</v>
      </c>
      <c r="C63">
        <v>2023</v>
      </c>
      <c r="D63" t="s">
        <v>62</v>
      </c>
      <c r="E63">
        <v>1125.53</v>
      </c>
      <c r="F63" t="s">
        <v>10</v>
      </c>
      <c r="G63">
        <v>127.00031785476931</v>
      </c>
      <c r="H63" t="str">
        <f>VLOOKUP(F63,Hoja1!$A$2:$B$8,2,0)</f>
        <v>Millones de dólares</v>
      </c>
      <c r="I63">
        <f t="shared" si="0"/>
        <v>886.24187640781747</v>
      </c>
    </row>
    <row r="64" spans="1:9" x14ac:dyDescent="0.25">
      <c r="A64" t="s">
        <v>37</v>
      </c>
      <c r="B64" t="s">
        <v>38</v>
      </c>
      <c r="C64">
        <v>2023</v>
      </c>
      <c r="D64" t="s">
        <v>62</v>
      </c>
      <c r="E64">
        <v>732.98</v>
      </c>
      <c r="F64" t="s">
        <v>10</v>
      </c>
      <c r="G64">
        <v>107.5767446910823</v>
      </c>
      <c r="H64" t="str">
        <f>VLOOKUP(F64,Hoja1!$A$2:$B$8,2,0)</f>
        <v>Millones de dólares</v>
      </c>
      <c r="I64">
        <f t="shared" si="0"/>
        <v>681.35543802224868</v>
      </c>
    </row>
    <row r="65" spans="1:9" x14ac:dyDescent="0.25">
      <c r="A65" t="s">
        <v>39</v>
      </c>
      <c r="B65" t="s">
        <v>40</v>
      </c>
      <c r="C65">
        <v>2023</v>
      </c>
      <c r="D65" t="s">
        <v>62</v>
      </c>
      <c r="E65">
        <v>1144.31</v>
      </c>
      <c r="F65" t="s">
        <v>10</v>
      </c>
      <c r="G65">
        <v>117.7576015297401</v>
      </c>
      <c r="H65" t="str">
        <f>VLOOKUP(F65,Hoja1!$A$2:$B$8,2,0)</f>
        <v>Millones de dólares</v>
      </c>
      <c r="I65">
        <f t="shared" si="0"/>
        <v>971.75043065988439</v>
      </c>
    </row>
    <row r="66" spans="1:9" x14ac:dyDescent="0.25">
      <c r="A66" t="s">
        <v>41</v>
      </c>
      <c r="B66" t="s">
        <v>42</v>
      </c>
      <c r="C66">
        <v>2023</v>
      </c>
      <c r="D66" t="s">
        <v>62</v>
      </c>
      <c r="E66">
        <v>794.52</v>
      </c>
      <c r="F66" t="s">
        <v>10</v>
      </c>
      <c r="G66">
        <v>116.8817233821558</v>
      </c>
      <c r="H66" t="str">
        <f>VLOOKUP(F66,Hoja1!$A$2:$B$8,2,0)</f>
        <v>Millones de dólares</v>
      </c>
      <c r="I66">
        <f t="shared" si="0"/>
        <v>679.76410426653456</v>
      </c>
    </row>
    <row r="67" spans="1:9" x14ac:dyDescent="0.25">
      <c r="A67" t="s">
        <v>43</v>
      </c>
      <c r="B67" t="s">
        <v>44</v>
      </c>
      <c r="C67">
        <v>2023</v>
      </c>
      <c r="D67" t="s">
        <v>62</v>
      </c>
      <c r="E67">
        <v>218.61</v>
      </c>
      <c r="F67" t="s">
        <v>10</v>
      </c>
      <c r="G67">
        <v>193.20352629865999</v>
      </c>
      <c r="H67" t="str">
        <f>VLOOKUP(F67,Hoja1!$A$2:$B$8,2,0)</f>
        <v>Millones de dólares</v>
      </c>
      <c r="I67">
        <f t="shared" ref="I67:I130" si="1">IFERROR(IF(H67="Millones de dólares",E67/G67*100,E67),"")</f>
        <v>113.15010869007945</v>
      </c>
    </row>
    <row r="68" spans="1:9" x14ac:dyDescent="0.25">
      <c r="A68" t="s">
        <v>45</v>
      </c>
      <c r="B68" t="s">
        <v>46</v>
      </c>
      <c r="C68">
        <v>2023</v>
      </c>
      <c r="D68" t="s">
        <v>62</v>
      </c>
      <c r="E68">
        <v>523.03</v>
      </c>
      <c r="F68" t="s">
        <v>10</v>
      </c>
      <c r="G68">
        <v>134.59808747086339</v>
      </c>
      <c r="H68" t="str">
        <f>VLOOKUP(F68,Hoja1!$A$2:$B$8,2,0)</f>
        <v>Millones de dólares</v>
      </c>
      <c r="I68">
        <f t="shared" si="1"/>
        <v>388.58650210258065</v>
      </c>
    </row>
    <row r="69" spans="1:9" x14ac:dyDescent="0.25">
      <c r="A69" t="s">
        <v>47</v>
      </c>
      <c r="B69" t="s">
        <v>48</v>
      </c>
      <c r="C69">
        <v>2023</v>
      </c>
      <c r="D69" t="s">
        <v>62</v>
      </c>
      <c r="E69">
        <v>65.14</v>
      </c>
      <c r="F69" t="s">
        <v>10</v>
      </c>
      <c r="G69">
        <v>102.9481438461891</v>
      </c>
      <c r="H69" t="str">
        <f>VLOOKUP(F69,Hoja1!$A$2:$B$8,2,0)</f>
        <v>Millones de dólares</v>
      </c>
      <c r="I69">
        <f t="shared" si="1"/>
        <v>63.274574524940633</v>
      </c>
    </row>
    <row r="70" spans="1:9" x14ac:dyDescent="0.25">
      <c r="A70" t="s">
        <v>49</v>
      </c>
      <c r="B70" t="s">
        <v>50</v>
      </c>
      <c r="C70">
        <v>2023</v>
      </c>
      <c r="D70" t="s">
        <v>62</v>
      </c>
      <c r="E70">
        <v>432.79</v>
      </c>
      <c r="F70" t="s">
        <v>10</v>
      </c>
      <c r="G70">
        <v>113.1</v>
      </c>
      <c r="H70" t="str">
        <f>VLOOKUP(F70,Hoja1!$A$2:$B$8,2,0)</f>
        <v>Millones de dólares</v>
      </c>
      <c r="I70">
        <f t="shared" si="1"/>
        <v>382.66136162687889</v>
      </c>
    </row>
    <row r="71" spans="1:9" x14ac:dyDescent="0.25">
      <c r="A71" t="s">
        <v>51</v>
      </c>
      <c r="B71" t="s">
        <v>52</v>
      </c>
      <c r="C71">
        <v>2023</v>
      </c>
      <c r="D71" t="s">
        <v>62</v>
      </c>
      <c r="E71">
        <v>217.85</v>
      </c>
      <c r="F71" t="s">
        <v>10</v>
      </c>
      <c r="G71">
        <v>110.1098857895461</v>
      </c>
      <c r="H71" t="str">
        <f>VLOOKUP(F71,Hoja1!$A$2:$B$8,2,0)</f>
        <v>Millones de dólares</v>
      </c>
      <c r="I71">
        <f t="shared" si="1"/>
        <v>197.84781215410433</v>
      </c>
    </row>
    <row r="72" spans="1:9" x14ac:dyDescent="0.25">
      <c r="A72" t="s">
        <v>53</v>
      </c>
      <c r="B72" t="s">
        <v>54</v>
      </c>
      <c r="C72">
        <v>2023</v>
      </c>
      <c r="D72" t="s">
        <v>62</v>
      </c>
      <c r="E72">
        <v>183.21</v>
      </c>
      <c r="F72" t="s">
        <v>10</v>
      </c>
      <c r="G72">
        <v>117.4474935307215</v>
      </c>
      <c r="H72" t="str">
        <f>VLOOKUP(F72,Hoja1!$A$2:$B$8,2,0)</f>
        <v>Millones de dólares</v>
      </c>
      <c r="I72">
        <f t="shared" si="1"/>
        <v>155.99311189393461</v>
      </c>
    </row>
    <row r="73" spans="1:9" x14ac:dyDescent="0.25">
      <c r="A73" t="s">
        <v>55</v>
      </c>
      <c r="B73" t="s">
        <v>56</v>
      </c>
      <c r="C73">
        <v>2023</v>
      </c>
      <c r="D73" t="s">
        <v>62</v>
      </c>
      <c r="E73">
        <v>12.37</v>
      </c>
      <c r="F73" t="s">
        <v>10</v>
      </c>
      <c r="G73">
        <v>109.95244477332351</v>
      </c>
      <c r="H73" t="str">
        <f>VLOOKUP(F73,Hoja1!$A$2:$B$8,2,0)</f>
        <v>Millones de dólares</v>
      </c>
      <c r="I73">
        <f t="shared" si="1"/>
        <v>11.250318285784209</v>
      </c>
    </row>
    <row r="74" spans="1:9" x14ac:dyDescent="0.25">
      <c r="A74" t="s">
        <v>57</v>
      </c>
      <c r="B74" t="s">
        <v>58</v>
      </c>
      <c r="C74">
        <v>2023</v>
      </c>
      <c r="D74" t="s">
        <v>62</v>
      </c>
      <c r="E74">
        <v>258.58999999999997</v>
      </c>
      <c r="F74" t="s">
        <v>10</v>
      </c>
      <c r="G74">
        <v>113.1</v>
      </c>
      <c r="H74" t="str">
        <f>VLOOKUP(F74,Hoja1!$A$2:$B$8,2,0)</f>
        <v>Millones de dólares</v>
      </c>
      <c r="I74">
        <f t="shared" si="1"/>
        <v>228.63837312113171</v>
      </c>
    </row>
    <row r="75" spans="1:9" x14ac:dyDescent="0.25">
      <c r="A75" t="s">
        <v>7</v>
      </c>
      <c r="B75" t="s">
        <v>8</v>
      </c>
      <c r="C75">
        <v>2023</v>
      </c>
      <c r="D75" t="s">
        <v>59</v>
      </c>
      <c r="E75">
        <v>762630863</v>
      </c>
      <c r="F75" t="s">
        <v>63</v>
      </c>
      <c r="G75">
        <v>142.91079324044</v>
      </c>
      <c r="H75" t="str">
        <f>VLOOKUP(F75,Hoja1!$A$2:$B$8,2,0)</f>
        <v>Unidades</v>
      </c>
      <c r="I75">
        <f t="shared" si="1"/>
        <v>762630863</v>
      </c>
    </row>
    <row r="76" spans="1:9" x14ac:dyDescent="0.25">
      <c r="A76" t="s">
        <v>11</v>
      </c>
      <c r="B76" t="s">
        <v>12</v>
      </c>
      <c r="C76">
        <v>2023</v>
      </c>
      <c r="D76" t="s">
        <v>59</v>
      </c>
      <c r="E76">
        <v>292638071</v>
      </c>
      <c r="F76" t="s">
        <v>63</v>
      </c>
      <c r="G76">
        <v>150.08579535058001</v>
      </c>
      <c r="H76" t="str">
        <f>VLOOKUP(F76,Hoja1!$A$2:$B$8,2,0)</f>
        <v>Unidades</v>
      </c>
      <c r="I76">
        <f t="shared" si="1"/>
        <v>292638071</v>
      </c>
    </row>
    <row r="77" spans="1:9" x14ac:dyDescent="0.25">
      <c r="A77" t="s">
        <v>13</v>
      </c>
      <c r="B77" t="s">
        <v>14</v>
      </c>
      <c r="C77">
        <v>2023</v>
      </c>
      <c r="D77" t="s">
        <v>59</v>
      </c>
      <c r="E77">
        <v>37270862</v>
      </c>
      <c r="F77" t="s">
        <v>63</v>
      </c>
      <c r="G77">
        <v>129.0410448209</v>
      </c>
      <c r="H77" t="str">
        <f>VLOOKUP(F77,Hoja1!$A$2:$B$8,2,0)</f>
        <v>Unidades</v>
      </c>
      <c r="I77">
        <f t="shared" si="1"/>
        <v>37270862</v>
      </c>
    </row>
    <row r="78" spans="1:9" x14ac:dyDescent="0.25">
      <c r="A78" t="s">
        <v>17</v>
      </c>
      <c r="B78" t="s">
        <v>18</v>
      </c>
      <c r="C78">
        <v>2023</v>
      </c>
      <c r="D78" t="s">
        <v>59</v>
      </c>
      <c r="E78">
        <v>5445286</v>
      </c>
      <c r="F78" t="s">
        <v>63</v>
      </c>
      <c r="G78">
        <v>69.851283274747999</v>
      </c>
      <c r="H78" t="str">
        <f>VLOOKUP(F78,Hoja1!$A$2:$B$8,2,0)</f>
        <v>Unidades</v>
      </c>
      <c r="I78">
        <f t="shared" si="1"/>
        <v>5445286</v>
      </c>
    </row>
    <row r="79" spans="1:9" x14ac:dyDescent="0.25">
      <c r="A79" t="s">
        <v>19</v>
      </c>
      <c r="B79" t="s">
        <v>20</v>
      </c>
      <c r="C79">
        <v>2023</v>
      </c>
      <c r="D79" t="s">
        <v>59</v>
      </c>
      <c r="E79">
        <v>4445301</v>
      </c>
      <c r="F79" t="s">
        <v>63</v>
      </c>
      <c r="G79">
        <v>69.851283274747999</v>
      </c>
      <c r="H79" t="str">
        <f>VLOOKUP(F79,Hoja1!$A$2:$B$8,2,0)</f>
        <v>Unidades</v>
      </c>
      <c r="I79">
        <f t="shared" si="1"/>
        <v>4445301</v>
      </c>
    </row>
    <row r="80" spans="1:9" x14ac:dyDescent="0.25">
      <c r="A80" t="s">
        <v>21</v>
      </c>
      <c r="B80" t="s">
        <v>22</v>
      </c>
      <c r="C80">
        <v>2023</v>
      </c>
      <c r="D80" t="s">
        <v>59</v>
      </c>
      <c r="E80">
        <v>2246004</v>
      </c>
      <c r="F80" t="s">
        <v>63</v>
      </c>
      <c r="G80">
        <v>69.851283274747999</v>
      </c>
      <c r="H80" t="str">
        <f>VLOOKUP(F80,Hoja1!$A$2:$B$8,2,0)</f>
        <v>Unidades</v>
      </c>
      <c r="I80">
        <f t="shared" si="1"/>
        <v>2246004</v>
      </c>
    </row>
    <row r="81" spans="1:9" x14ac:dyDescent="0.25">
      <c r="A81" t="s">
        <v>23</v>
      </c>
      <c r="B81" t="s">
        <v>24</v>
      </c>
      <c r="C81">
        <v>2023</v>
      </c>
      <c r="D81" t="s">
        <v>59</v>
      </c>
      <c r="E81">
        <v>40189833</v>
      </c>
      <c r="F81" t="s">
        <v>63</v>
      </c>
      <c r="G81">
        <v>130.15281667511999</v>
      </c>
      <c r="H81" t="str">
        <f>VLOOKUP(F81,Hoja1!$A$2:$B$8,2,0)</f>
        <v>Unidades</v>
      </c>
      <c r="I81">
        <f t="shared" si="1"/>
        <v>40189833</v>
      </c>
    </row>
    <row r="82" spans="1:9" x14ac:dyDescent="0.25">
      <c r="A82" t="s">
        <v>25</v>
      </c>
      <c r="B82" t="s">
        <v>26</v>
      </c>
      <c r="C82">
        <v>2023</v>
      </c>
      <c r="D82" t="s">
        <v>59</v>
      </c>
      <c r="E82">
        <v>31109887</v>
      </c>
      <c r="F82" t="s">
        <v>63</v>
      </c>
      <c r="G82">
        <v>89.311059064592001</v>
      </c>
      <c r="H82" t="str">
        <f>VLOOKUP(F82,Hoja1!$A$2:$B$8,2,0)</f>
        <v>Unidades</v>
      </c>
      <c r="I82">
        <f t="shared" si="1"/>
        <v>31109887</v>
      </c>
    </row>
    <row r="83" spans="1:9" x14ac:dyDescent="0.25">
      <c r="A83" t="s">
        <v>27</v>
      </c>
      <c r="B83" t="s">
        <v>28</v>
      </c>
      <c r="C83">
        <v>2023</v>
      </c>
      <c r="D83" t="s">
        <v>59</v>
      </c>
      <c r="E83">
        <v>6909679</v>
      </c>
      <c r="F83" t="s">
        <v>63</v>
      </c>
      <c r="G83">
        <v>89.311059064592001</v>
      </c>
      <c r="H83" t="str">
        <f>VLOOKUP(F83,Hoja1!$A$2:$B$8,2,0)</f>
        <v>Unidades</v>
      </c>
      <c r="I83">
        <f t="shared" si="1"/>
        <v>6909679</v>
      </c>
    </row>
    <row r="84" spans="1:9" x14ac:dyDescent="0.25">
      <c r="A84" t="s">
        <v>31</v>
      </c>
      <c r="B84" t="s">
        <v>32</v>
      </c>
      <c r="C84">
        <v>2023</v>
      </c>
      <c r="D84" t="s">
        <v>59</v>
      </c>
      <c r="E84">
        <v>46427410</v>
      </c>
      <c r="F84" t="s">
        <v>63</v>
      </c>
      <c r="G84">
        <v>179.38969123864001</v>
      </c>
      <c r="H84" t="str">
        <f>VLOOKUP(F84,Hoja1!$A$2:$B$8,2,0)</f>
        <v>Unidades</v>
      </c>
      <c r="I84">
        <f t="shared" si="1"/>
        <v>46427410</v>
      </c>
    </row>
    <row r="85" spans="1:9" x14ac:dyDescent="0.25">
      <c r="A85" t="s">
        <v>33</v>
      </c>
      <c r="B85" t="s">
        <v>34</v>
      </c>
      <c r="C85">
        <v>2023</v>
      </c>
      <c r="D85" t="s">
        <v>59</v>
      </c>
      <c r="E85">
        <v>20022262</v>
      </c>
      <c r="F85" t="s">
        <v>63</v>
      </c>
      <c r="G85">
        <v>179.38969123864001</v>
      </c>
      <c r="H85" t="str">
        <f>VLOOKUP(F85,Hoja1!$A$2:$B$8,2,0)</f>
        <v>Unidades</v>
      </c>
      <c r="I85">
        <f t="shared" si="1"/>
        <v>20022262</v>
      </c>
    </row>
    <row r="86" spans="1:9" x14ac:dyDescent="0.25">
      <c r="A86" t="s">
        <v>35</v>
      </c>
      <c r="B86" t="s">
        <v>36</v>
      </c>
      <c r="C86">
        <v>2023</v>
      </c>
      <c r="D86" t="s">
        <v>59</v>
      </c>
      <c r="E86">
        <v>39921018</v>
      </c>
      <c r="F86" t="s">
        <v>63</v>
      </c>
      <c r="G86">
        <v>179.38969123864001</v>
      </c>
      <c r="H86" t="str">
        <f>VLOOKUP(F86,Hoja1!$A$2:$B$8,2,0)</f>
        <v>Unidades</v>
      </c>
      <c r="I86">
        <f t="shared" si="1"/>
        <v>39921018</v>
      </c>
    </row>
    <row r="87" spans="1:9" x14ac:dyDescent="0.25">
      <c r="A87" t="s">
        <v>37</v>
      </c>
      <c r="B87" t="s">
        <v>38</v>
      </c>
      <c r="C87">
        <v>2023</v>
      </c>
      <c r="D87" t="s">
        <v>59</v>
      </c>
      <c r="E87">
        <v>32921068</v>
      </c>
      <c r="F87" t="s">
        <v>63</v>
      </c>
      <c r="G87">
        <v>137.65188865636</v>
      </c>
      <c r="H87" t="str">
        <f>VLOOKUP(F87,Hoja1!$A$2:$B$8,2,0)</f>
        <v>Unidades</v>
      </c>
      <c r="I87">
        <f t="shared" si="1"/>
        <v>32921068</v>
      </c>
    </row>
    <row r="88" spans="1:9" x14ac:dyDescent="0.25">
      <c r="A88" t="s">
        <v>39</v>
      </c>
      <c r="B88" t="s">
        <v>40</v>
      </c>
      <c r="C88">
        <v>2023</v>
      </c>
      <c r="D88" t="s">
        <v>59</v>
      </c>
      <c r="E88">
        <v>14134686</v>
      </c>
      <c r="F88" t="s">
        <v>63</v>
      </c>
      <c r="G88">
        <v>140.40843314838</v>
      </c>
      <c r="H88" t="str">
        <f>VLOOKUP(F88,Hoja1!$A$2:$B$8,2,0)</f>
        <v>Unidades</v>
      </c>
      <c r="I88">
        <f t="shared" si="1"/>
        <v>14134686</v>
      </c>
    </row>
    <row r="89" spans="1:9" x14ac:dyDescent="0.25">
      <c r="A89" t="s">
        <v>41</v>
      </c>
      <c r="B89" t="s">
        <v>42</v>
      </c>
      <c r="C89">
        <v>2023</v>
      </c>
      <c r="D89" t="s">
        <v>59</v>
      </c>
      <c r="E89">
        <v>48303820</v>
      </c>
      <c r="F89" t="s">
        <v>63</v>
      </c>
      <c r="G89">
        <v>140.40843314838</v>
      </c>
      <c r="H89" t="str">
        <f>VLOOKUP(F89,Hoja1!$A$2:$B$8,2,0)</f>
        <v>Unidades</v>
      </c>
      <c r="I89">
        <f t="shared" si="1"/>
        <v>48303820</v>
      </c>
    </row>
    <row r="90" spans="1:9" x14ac:dyDescent="0.25">
      <c r="A90" t="s">
        <v>43</v>
      </c>
      <c r="B90" t="s">
        <v>44</v>
      </c>
      <c r="C90">
        <v>2023</v>
      </c>
      <c r="D90" t="s">
        <v>59</v>
      </c>
      <c r="E90">
        <v>628673</v>
      </c>
      <c r="F90" t="s">
        <v>63</v>
      </c>
      <c r="G90">
        <v>140.40843314838</v>
      </c>
      <c r="H90" t="str">
        <f>VLOOKUP(F90,Hoja1!$A$2:$B$8,2,0)</f>
        <v>Unidades</v>
      </c>
      <c r="I90">
        <f t="shared" si="1"/>
        <v>628673</v>
      </c>
    </row>
    <row r="91" spans="1:9" x14ac:dyDescent="0.25">
      <c r="A91" t="s">
        <v>45</v>
      </c>
      <c r="B91" t="s">
        <v>46</v>
      </c>
      <c r="C91">
        <v>2023</v>
      </c>
      <c r="D91" t="s">
        <v>59</v>
      </c>
      <c r="E91">
        <v>12774274</v>
      </c>
      <c r="F91" t="s">
        <v>63</v>
      </c>
      <c r="G91">
        <v>140.40843314838</v>
      </c>
      <c r="H91" t="str">
        <f>VLOOKUP(F91,Hoja1!$A$2:$B$8,2,0)</f>
        <v>Unidades</v>
      </c>
      <c r="I91">
        <f t="shared" si="1"/>
        <v>12774274</v>
      </c>
    </row>
    <row r="92" spans="1:9" x14ac:dyDescent="0.25">
      <c r="A92" t="s">
        <v>47</v>
      </c>
      <c r="B92" t="s">
        <v>48</v>
      </c>
      <c r="C92">
        <v>2023</v>
      </c>
      <c r="D92" t="s">
        <v>59</v>
      </c>
      <c r="E92">
        <v>12457715</v>
      </c>
      <c r="F92" t="s">
        <v>63</v>
      </c>
      <c r="G92">
        <v>140.40843314838</v>
      </c>
      <c r="H92" t="str">
        <f>VLOOKUP(F92,Hoja1!$A$2:$B$8,2,0)</f>
        <v>Unidades</v>
      </c>
      <c r="I92">
        <f t="shared" si="1"/>
        <v>12457715</v>
      </c>
    </row>
    <row r="93" spans="1:9" x14ac:dyDescent="0.25">
      <c r="A93" t="s">
        <v>49</v>
      </c>
      <c r="B93" t="s">
        <v>50</v>
      </c>
      <c r="C93">
        <v>2023</v>
      </c>
      <c r="D93" t="s">
        <v>59</v>
      </c>
      <c r="E93">
        <v>1818642</v>
      </c>
      <c r="F93" t="s">
        <v>63</v>
      </c>
      <c r="G93">
        <v>142.91079324044</v>
      </c>
      <c r="H93" t="str">
        <f>VLOOKUP(F93,Hoja1!$A$2:$B$8,2,0)</f>
        <v>Unidades</v>
      </c>
      <c r="I93">
        <f t="shared" si="1"/>
        <v>1818642</v>
      </c>
    </row>
    <row r="94" spans="1:9" x14ac:dyDescent="0.25">
      <c r="A94" t="s">
        <v>51</v>
      </c>
      <c r="B94" t="s">
        <v>52</v>
      </c>
      <c r="C94">
        <v>2023</v>
      </c>
      <c r="D94" t="s">
        <v>59</v>
      </c>
      <c r="E94">
        <v>375289</v>
      </c>
      <c r="F94" t="s">
        <v>63</v>
      </c>
      <c r="G94">
        <v>140.40843314838</v>
      </c>
      <c r="H94" t="str">
        <f>VLOOKUP(F94,Hoja1!$A$2:$B$8,2,0)</f>
        <v>Unidades</v>
      </c>
      <c r="I94">
        <f t="shared" si="1"/>
        <v>375289</v>
      </c>
    </row>
    <row r="95" spans="1:9" x14ac:dyDescent="0.25">
      <c r="A95" t="s">
        <v>53</v>
      </c>
      <c r="B95" t="s">
        <v>54</v>
      </c>
      <c r="C95">
        <v>2023</v>
      </c>
      <c r="D95" t="s">
        <v>59</v>
      </c>
      <c r="E95">
        <v>18755255</v>
      </c>
      <c r="F95" t="s">
        <v>63</v>
      </c>
      <c r="G95">
        <v>130.15281667511999</v>
      </c>
      <c r="H95" t="str">
        <f>VLOOKUP(F95,Hoja1!$A$2:$B$8,2,0)</f>
        <v>Unidades</v>
      </c>
      <c r="I95">
        <f t="shared" si="1"/>
        <v>18755255</v>
      </c>
    </row>
    <row r="96" spans="1:9" x14ac:dyDescent="0.25">
      <c r="A96" t="s">
        <v>55</v>
      </c>
      <c r="B96" t="s">
        <v>56</v>
      </c>
      <c r="C96">
        <v>2023</v>
      </c>
      <c r="D96" t="s">
        <v>59</v>
      </c>
      <c r="E96">
        <v>3618253</v>
      </c>
      <c r="F96" t="s">
        <v>63</v>
      </c>
      <c r="G96">
        <v>142.91079324044</v>
      </c>
      <c r="H96" t="str">
        <f>VLOOKUP(F96,Hoja1!$A$2:$B$8,2,0)</f>
        <v>Unidades</v>
      </c>
      <c r="I96">
        <f t="shared" si="1"/>
        <v>3618253</v>
      </c>
    </row>
    <row r="97" spans="1:9" x14ac:dyDescent="0.25">
      <c r="A97" t="s">
        <v>57</v>
      </c>
      <c r="B97" t="s">
        <v>58</v>
      </c>
      <c r="C97">
        <v>2023</v>
      </c>
      <c r="D97" t="s">
        <v>59</v>
      </c>
      <c r="E97">
        <v>60831599</v>
      </c>
      <c r="F97" t="s">
        <v>63</v>
      </c>
      <c r="G97">
        <v>142.91079324044</v>
      </c>
      <c r="H97" t="str">
        <f>VLOOKUP(F97,Hoja1!$A$2:$B$8,2,0)</f>
        <v>Unidades</v>
      </c>
      <c r="I97">
        <f t="shared" si="1"/>
        <v>60831599</v>
      </c>
    </row>
    <row r="98" spans="1:9" x14ac:dyDescent="0.25">
      <c r="A98" t="s">
        <v>60</v>
      </c>
      <c r="B98" t="s">
        <v>61</v>
      </c>
      <c r="C98">
        <v>2023</v>
      </c>
      <c r="D98" t="s">
        <v>59</v>
      </c>
      <c r="E98">
        <v>29385976</v>
      </c>
      <c r="F98" t="s">
        <v>63</v>
      </c>
      <c r="G98">
        <v>142.91079324044</v>
      </c>
      <c r="H98" t="str">
        <f>VLOOKUP(F98,Hoja1!$A$2:$B$8,2,0)</f>
        <v>Unidades</v>
      </c>
      <c r="I98">
        <f t="shared" si="1"/>
        <v>29385976</v>
      </c>
    </row>
    <row r="99" spans="1:9" x14ac:dyDescent="0.25">
      <c r="A99" t="s">
        <v>7</v>
      </c>
      <c r="B99" t="s">
        <v>8</v>
      </c>
      <c r="C99">
        <v>2023</v>
      </c>
      <c r="D99" t="s">
        <v>9</v>
      </c>
      <c r="E99">
        <v>6322197</v>
      </c>
      <c r="F99" t="s">
        <v>64</v>
      </c>
      <c r="H99" t="str">
        <f>VLOOKUP(F99,Hoja1!$A$2:$B$8,2,0)</f>
        <v>Unidades</v>
      </c>
      <c r="I99">
        <f t="shared" si="1"/>
        <v>6322197</v>
      </c>
    </row>
    <row r="100" spans="1:9" x14ac:dyDescent="0.25">
      <c r="A100" t="s">
        <v>11</v>
      </c>
      <c r="B100" t="s">
        <v>12</v>
      </c>
      <c r="C100">
        <v>2023</v>
      </c>
      <c r="D100" t="s">
        <v>9</v>
      </c>
      <c r="E100">
        <v>1715308</v>
      </c>
      <c r="F100" t="s">
        <v>64</v>
      </c>
      <c r="H100" t="str">
        <f>VLOOKUP(F100,Hoja1!$A$2:$B$8,2,0)</f>
        <v>Unidades</v>
      </c>
      <c r="I100">
        <f t="shared" si="1"/>
        <v>1715308</v>
      </c>
    </row>
    <row r="101" spans="1:9" x14ac:dyDescent="0.25">
      <c r="A101" t="s">
        <v>13</v>
      </c>
      <c r="B101" t="s">
        <v>14</v>
      </c>
      <c r="C101">
        <v>2023</v>
      </c>
      <c r="D101" t="s">
        <v>9</v>
      </c>
      <c r="E101">
        <v>170841</v>
      </c>
      <c r="F101" t="s">
        <v>64</v>
      </c>
      <c r="H101" t="str">
        <f>VLOOKUP(F101,Hoja1!$A$2:$B$8,2,0)</f>
        <v>Unidades</v>
      </c>
      <c r="I101">
        <f t="shared" si="1"/>
        <v>170841</v>
      </c>
    </row>
    <row r="102" spans="1:9" x14ac:dyDescent="0.25">
      <c r="A102" t="s">
        <v>15</v>
      </c>
      <c r="B102" t="s">
        <v>16</v>
      </c>
      <c r="C102">
        <v>2023</v>
      </c>
      <c r="D102" t="s">
        <v>9</v>
      </c>
      <c r="E102">
        <v>16162</v>
      </c>
      <c r="F102" t="s">
        <v>64</v>
      </c>
      <c r="H102" t="str">
        <f>VLOOKUP(F102,Hoja1!$A$2:$B$8,2,0)</f>
        <v>Unidades</v>
      </c>
      <c r="I102">
        <f t="shared" si="1"/>
        <v>16162</v>
      </c>
    </row>
    <row r="103" spans="1:9" x14ac:dyDescent="0.25">
      <c r="A103" t="s">
        <v>17</v>
      </c>
      <c r="B103" t="s">
        <v>18</v>
      </c>
      <c r="C103">
        <v>2023</v>
      </c>
      <c r="D103" t="s">
        <v>9</v>
      </c>
      <c r="E103">
        <v>203240</v>
      </c>
      <c r="F103" t="s">
        <v>64</v>
      </c>
      <c r="H103" t="str">
        <f>VLOOKUP(F103,Hoja1!$A$2:$B$8,2,0)</f>
        <v>Unidades</v>
      </c>
      <c r="I103">
        <f t="shared" si="1"/>
        <v>203240</v>
      </c>
    </row>
    <row r="104" spans="1:9" x14ac:dyDescent="0.25">
      <c r="A104" t="s">
        <v>19</v>
      </c>
      <c r="B104" t="s">
        <v>20</v>
      </c>
      <c r="C104">
        <v>2023</v>
      </c>
      <c r="D104" t="s">
        <v>9</v>
      </c>
      <c r="E104">
        <v>316253</v>
      </c>
      <c r="F104" t="s">
        <v>64</v>
      </c>
      <c r="H104" t="str">
        <f>VLOOKUP(F104,Hoja1!$A$2:$B$8,2,0)</f>
        <v>Unidades</v>
      </c>
      <c r="I104">
        <f t="shared" si="1"/>
        <v>316253</v>
      </c>
    </row>
    <row r="105" spans="1:9" x14ac:dyDescent="0.25">
      <c r="A105" t="s">
        <v>21</v>
      </c>
      <c r="B105" t="s">
        <v>22</v>
      </c>
      <c r="C105">
        <v>2023</v>
      </c>
      <c r="D105" t="s">
        <v>9</v>
      </c>
      <c r="E105">
        <v>277687</v>
      </c>
      <c r="F105" t="s">
        <v>64</v>
      </c>
      <c r="H105" t="str">
        <f>VLOOKUP(F105,Hoja1!$A$2:$B$8,2,0)</f>
        <v>Unidades</v>
      </c>
      <c r="I105">
        <f t="shared" si="1"/>
        <v>277687</v>
      </c>
    </row>
    <row r="106" spans="1:9" x14ac:dyDescent="0.25">
      <c r="A106" t="s">
        <v>23</v>
      </c>
      <c r="B106" t="s">
        <v>24</v>
      </c>
      <c r="C106">
        <v>2023</v>
      </c>
      <c r="D106" t="s">
        <v>9</v>
      </c>
      <c r="E106">
        <v>107480</v>
      </c>
      <c r="F106" t="s">
        <v>64</v>
      </c>
      <c r="H106" t="str">
        <f>VLOOKUP(F106,Hoja1!$A$2:$B$8,2,0)</f>
        <v>Unidades</v>
      </c>
      <c r="I106">
        <f t="shared" si="1"/>
        <v>107480</v>
      </c>
    </row>
    <row r="107" spans="1:9" x14ac:dyDescent="0.25">
      <c r="A107" t="s">
        <v>25</v>
      </c>
      <c r="B107" t="s">
        <v>26</v>
      </c>
      <c r="C107">
        <v>2023</v>
      </c>
      <c r="D107" t="s">
        <v>9</v>
      </c>
      <c r="E107">
        <v>189920</v>
      </c>
      <c r="F107" t="s">
        <v>64</v>
      </c>
      <c r="H107" t="str">
        <f>VLOOKUP(F107,Hoja1!$A$2:$B$8,2,0)</f>
        <v>Unidades</v>
      </c>
      <c r="I107">
        <f t="shared" si="1"/>
        <v>189920</v>
      </c>
    </row>
    <row r="108" spans="1:9" x14ac:dyDescent="0.25">
      <c r="A108" t="s">
        <v>27</v>
      </c>
      <c r="B108" t="s">
        <v>28</v>
      </c>
      <c r="C108">
        <v>2023</v>
      </c>
      <c r="D108" t="s">
        <v>9</v>
      </c>
      <c r="E108">
        <v>39647</v>
      </c>
      <c r="F108" t="s">
        <v>64</v>
      </c>
      <c r="H108" t="str">
        <f>VLOOKUP(F108,Hoja1!$A$2:$B$8,2,0)</f>
        <v>Unidades</v>
      </c>
      <c r="I108">
        <f t="shared" si="1"/>
        <v>39647</v>
      </c>
    </row>
    <row r="109" spans="1:9" x14ac:dyDescent="0.25">
      <c r="A109" t="s">
        <v>29</v>
      </c>
      <c r="B109" t="s">
        <v>30</v>
      </c>
      <c r="C109">
        <v>2023</v>
      </c>
      <c r="D109" t="s">
        <v>9</v>
      </c>
      <c r="E109">
        <v>73427</v>
      </c>
      <c r="F109" t="s">
        <v>64</v>
      </c>
      <c r="H109" t="str">
        <f>VLOOKUP(F109,Hoja1!$A$2:$B$8,2,0)</f>
        <v>Unidades</v>
      </c>
      <c r="I109">
        <f t="shared" si="1"/>
        <v>73427</v>
      </c>
    </row>
    <row r="110" spans="1:9" x14ac:dyDescent="0.25">
      <c r="A110" t="s">
        <v>31</v>
      </c>
      <c r="B110" t="s">
        <v>32</v>
      </c>
      <c r="C110">
        <v>2023</v>
      </c>
      <c r="D110" t="s">
        <v>9</v>
      </c>
      <c r="E110">
        <v>400861</v>
      </c>
      <c r="F110" t="s">
        <v>64</v>
      </c>
      <c r="H110" t="str">
        <f>VLOOKUP(F110,Hoja1!$A$2:$B$8,2,0)</f>
        <v>Unidades</v>
      </c>
      <c r="I110">
        <f t="shared" si="1"/>
        <v>400861</v>
      </c>
    </row>
    <row r="111" spans="1:9" x14ac:dyDescent="0.25">
      <c r="A111" t="s">
        <v>33</v>
      </c>
      <c r="B111" t="s">
        <v>34</v>
      </c>
      <c r="C111">
        <v>2023</v>
      </c>
      <c r="D111" t="s">
        <v>9</v>
      </c>
      <c r="E111">
        <v>119017</v>
      </c>
      <c r="F111" t="s">
        <v>64</v>
      </c>
      <c r="H111" t="str">
        <f>VLOOKUP(F111,Hoja1!$A$2:$B$8,2,0)</f>
        <v>Unidades</v>
      </c>
      <c r="I111">
        <f t="shared" si="1"/>
        <v>119017</v>
      </c>
    </row>
    <row r="112" spans="1:9" x14ac:dyDescent="0.25">
      <c r="A112" t="s">
        <v>35</v>
      </c>
      <c r="B112" t="s">
        <v>36</v>
      </c>
      <c r="C112">
        <v>2023</v>
      </c>
      <c r="D112" t="s">
        <v>9</v>
      </c>
      <c r="E112">
        <v>321694</v>
      </c>
      <c r="F112" t="s">
        <v>64</v>
      </c>
      <c r="H112" t="str">
        <f>VLOOKUP(F112,Hoja1!$A$2:$B$8,2,0)</f>
        <v>Unidades</v>
      </c>
      <c r="I112">
        <f t="shared" si="1"/>
        <v>321694</v>
      </c>
    </row>
    <row r="113" spans="1:9" x14ac:dyDescent="0.25">
      <c r="A113" t="s">
        <v>37</v>
      </c>
      <c r="B113" t="s">
        <v>38</v>
      </c>
      <c r="C113">
        <v>2023</v>
      </c>
      <c r="D113" t="s">
        <v>9</v>
      </c>
      <c r="E113">
        <v>272372</v>
      </c>
      <c r="F113" t="s">
        <v>64</v>
      </c>
      <c r="H113" t="str">
        <f>VLOOKUP(F113,Hoja1!$A$2:$B$8,2,0)</f>
        <v>Unidades</v>
      </c>
      <c r="I113">
        <f t="shared" si="1"/>
        <v>272372</v>
      </c>
    </row>
    <row r="114" spans="1:9" x14ac:dyDescent="0.25">
      <c r="A114" t="s">
        <v>39</v>
      </c>
      <c r="B114" t="s">
        <v>40</v>
      </c>
      <c r="C114">
        <v>2023</v>
      </c>
      <c r="D114" t="s">
        <v>9</v>
      </c>
      <c r="E114">
        <v>227616</v>
      </c>
      <c r="F114" t="s">
        <v>64</v>
      </c>
      <c r="H114" t="str">
        <f>VLOOKUP(F114,Hoja1!$A$2:$B$8,2,0)</f>
        <v>Unidades</v>
      </c>
      <c r="I114">
        <f t="shared" si="1"/>
        <v>227616</v>
      </c>
    </row>
    <row r="115" spans="1:9" x14ac:dyDescent="0.25">
      <c r="A115" t="s">
        <v>41</v>
      </c>
      <c r="B115" t="s">
        <v>42</v>
      </c>
      <c r="C115">
        <v>2023</v>
      </c>
      <c r="D115" t="s">
        <v>9</v>
      </c>
      <c r="E115">
        <v>274899</v>
      </c>
      <c r="F115" t="s">
        <v>64</v>
      </c>
      <c r="H115" t="str">
        <f>VLOOKUP(F115,Hoja1!$A$2:$B$8,2,0)</f>
        <v>Unidades</v>
      </c>
      <c r="I115">
        <f t="shared" si="1"/>
        <v>274899</v>
      </c>
    </row>
    <row r="116" spans="1:9" x14ac:dyDescent="0.25">
      <c r="A116" t="s">
        <v>43</v>
      </c>
      <c r="B116" t="s">
        <v>44</v>
      </c>
      <c r="C116">
        <v>2023</v>
      </c>
      <c r="D116" t="s">
        <v>9</v>
      </c>
      <c r="E116">
        <v>108367</v>
      </c>
      <c r="F116" t="s">
        <v>64</v>
      </c>
      <c r="H116" t="str">
        <f>VLOOKUP(F116,Hoja1!$A$2:$B$8,2,0)</f>
        <v>Unidades</v>
      </c>
      <c r="I116">
        <f t="shared" si="1"/>
        <v>108367</v>
      </c>
    </row>
    <row r="117" spans="1:9" x14ac:dyDescent="0.25">
      <c r="A117" t="s">
        <v>45</v>
      </c>
      <c r="B117" t="s">
        <v>46</v>
      </c>
      <c r="C117">
        <v>2023</v>
      </c>
      <c r="D117" t="s">
        <v>9</v>
      </c>
      <c r="E117">
        <v>213125</v>
      </c>
      <c r="F117" t="s">
        <v>64</v>
      </c>
      <c r="H117" t="str">
        <f>VLOOKUP(F117,Hoja1!$A$2:$B$8,2,0)</f>
        <v>Unidades</v>
      </c>
      <c r="I117">
        <f t="shared" si="1"/>
        <v>213125</v>
      </c>
    </row>
    <row r="118" spans="1:9" x14ac:dyDescent="0.25">
      <c r="A118" t="s">
        <v>47</v>
      </c>
      <c r="B118" t="s">
        <v>48</v>
      </c>
      <c r="C118">
        <v>2023</v>
      </c>
      <c r="D118" t="s">
        <v>9</v>
      </c>
      <c r="E118">
        <v>337015</v>
      </c>
      <c r="F118" t="s">
        <v>64</v>
      </c>
      <c r="H118" t="str">
        <f>VLOOKUP(F118,Hoja1!$A$2:$B$8,2,0)</f>
        <v>Unidades</v>
      </c>
      <c r="I118">
        <f t="shared" si="1"/>
        <v>337015</v>
      </c>
    </row>
    <row r="119" spans="1:9" x14ac:dyDescent="0.25">
      <c r="A119" t="s">
        <v>49</v>
      </c>
      <c r="B119" t="s">
        <v>50</v>
      </c>
      <c r="C119">
        <v>2023</v>
      </c>
      <c r="D119" t="s">
        <v>9</v>
      </c>
      <c r="E119">
        <v>424342</v>
      </c>
      <c r="F119" t="s">
        <v>64</v>
      </c>
      <c r="H119" t="str">
        <f>VLOOKUP(F119,Hoja1!$A$2:$B$8,2,0)</f>
        <v>Unidades</v>
      </c>
      <c r="I119">
        <f t="shared" si="1"/>
        <v>424342</v>
      </c>
    </row>
    <row r="120" spans="1:9" x14ac:dyDescent="0.25">
      <c r="A120" t="s">
        <v>51</v>
      </c>
      <c r="B120" t="s">
        <v>52</v>
      </c>
      <c r="C120">
        <v>2023</v>
      </c>
      <c r="D120" t="s">
        <v>9</v>
      </c>
      <c r="E120">
        <v>83518</v>
      </c>
      <c r="F120" t="s">
        <v>64</v>
      </c>
      <c r="H120" t="str">
        <f>VLOOKUP(F120,Hoja1!$A$2:$B$8,2,0)</f>
        <v>Unidades</v>
      </c>
      <c r="I120">
        <f t="shared" si="1"/>
        <v>83518</v>
      </c>
    </row>
    <row r="121" spans="1:9" x14ac:dyDescent="0.25">
      <c r="A121" t="s">
        <v>53</v>
      </c>
      <c r="B121" t="s">
        <v>54</v>
      </c>
      <c r="C121">
        <v>2023</v>
      </c>
      <c r="D121" t="s">
        <v>9</v>
      </c>
      <c r="E121">
        <v>153854</v>
      </c>
      <c r="F121" t="s">
        <v>64</v>
      </c>
      <c r="H121" t="str">
        <f>VLOOKUP(F121,Hoja1!$A$2:$B$8,2,0)</f>
        <v>Unidades</v>
      </c>
      <c r="I121">
        <f t="shared" si="1"/>
        <v>153854</v>
      </c>
    </row>
    <row r="122" spans="1:9" x14ac:dyDescent="0.25">
      <c r="A122" t="s">
        <v>55</v>
      </c>
      <c r="B122" t="s">
        <v>56</v>
      </c>
      <c r="C122">
        <v>2023</v>
      </c>
      <c r="D122" t="s">
        <v>9</v>
      </c>
      <c r="E122">
        <v>110194</v>
      </c>
      <c r="F122" t="s">
        <v>64</v>
      </c>
      <c r="H122" t="str">
        <f>VLOOKUP(F122,Hoja1!$A$2:$B$8,2,0)</f>
        <v>Unidades</v>
      </c>
      <c r="I122">
        <f t="shared" si="1"/>
        <v>110194</v>
      </c>
    </row>
    <row r="123" spans="1:9" x14ac:dyDescent="0.25">
      <c r="A123" t="s">
        <v>57</v>
      </c>
      <c r="B123" t="s">
        <v>58</v>
      </c>
      <c r="C123">
        <v>2023</v>
      </c>
      <c r="D123" t="s">
        <v>9</v>
      </c>
      <c r="E123">
        <v>165358</v>
      </c>
      <c r="F123" t="s">
        <v>64</v>
      </c>
      <c r="H123" t="str">
        <f>VLOOKUP(F123,Hoja1!$A$2:$B$8,2,0)</f>
        <v>Unidades</v>
      </c>
      <c r="I123">
        <f t="shared" si="1"/>
        <v>165358</v>
      </c>
    </row>
    <row r="124" spans="1:9" x14ac:dyDescent="0.25">
      <c r="A124" t="s">
        <v>7</v>
      </c>
      <c r="B124" t="s">
        <v>8</v>
      </c>
      <c r="C124">
        <v>2023</v>
      </c>
      <c r="D124" t="s">
        <v>59</v>
      </c>
      <c r="E124">
        <v>383847</v>
      </c>
      <c r="F124" t="s">
        <v>64</v>
      </c>
      <c r="G124">
        <v>142.91079324044</v>
      </c>
      <c r="H124" t="str">
        <f>VLOOKUP(F124,Hoja1!$A$2:$B$8,2,0)</f>
        <v>Unidades</v>
      </c>
      <c r="I124">
        <f t="shared" si="1"/>
        <v>383847</v>
      </c>
    </row>
    <row r="125" spans="1:9" x14ac:dyDescent="0.25">
      <c r="A125" t="s">
        <v>11</v>
      </c>
      <c r="B125" t="s">
        <v>12</v>
      </c>
      <c r="C125">
        <v>2023</v>
      </c>
      <c r="D125" t="s">
        <v>59</v>
      </c>
      <c r="E125">
        <v>152098</v>
      </c>
      <c r="F125" t="s">
        <v>64</v>
      </c>
      <c r="G125">
        <v>150.08579535058001</v>
      </c>
      <c r="H125" t="str">
        <f>VLOOKUP(F125,Hoja1!$A$2:$B$8,2,0)</f>
        <v>Unidades</v>
      </c>
      <c r="I125">
        <f t="shared" si="1"/>
        <v>152098</v>
      </c>
    </row>
    <row r="126" spans="1:9" x14ac:dyDescent="0.25">
      <c r="A126" t="s">
        <v>13</v>
      </c>
      <c r="B126" t="s">
        <v>14</v>
      </c>
      <c r="C126">
        <v>2023</v>
      </c>
      <c r="D126" t="s">
        <v>59</v>
      </c>
      <c r="E126">
        <v>18785</v>
      </c>
      <c r="F126" t="s">
        <v>64</v>
      </c>
      <c r="G126">
        <v>129.0410448209</v>
      </c>
      <c r="H126" t="str">
        <f>VLOOKUP(F126,Hoja1!$A$2:$B$8,2,0)</f>
        <v>Unidades</v>
      </c>
      <c r="I126">
        <f t="shared" si="1"/>
        <v>18785</v>
      </c>
    </row>
    <row r="127" spans="1:9" x14ac:dyDescent="0.25">
      <c r="A127" t="s">
        <v>17</v>
      </c>
      <c r="B127" t="s">
        <v>18</v>
      </c>
      <c r="C127">
        <v>2023</v>
      </c>
      <c r="D127" t="s">
        <v>59</v>
      </c>
      <c r="E127">
        <v>2727</v>
      </c>
      <c r="F127" t="s">
        <v>64</v>
      </c>
      <c r="G127">
        <v>69.851283274747999</v>
      </c>
      <c r="H127" t="str">
        <f>VLOOKUP(F127,Hoja1!$A$2:$B$8,2,0)</f>
        <v>Unidades</v>
      </c>
      <c r="I127">
        <f t="shared" si="1"/>
        <v>2727</v>
      </c>
    </row>
    <row r="128" spans="1:9" x14ac:dyDescent="0.25">
      <c r="A128" t="s">
        <v>19</v>
      </c>
      <c r="B128" t="s">
        <v>20</v>
      </c>
      <c r="C128">
        <v>2023</v>
      </c>
      <c r="D128" t="s">
        <v>59</v>
      </c>
      <c r="E128">
        <v>2384</v>
      </c>
      <c r="F128" t="s">
        <v>64</v>
      </c>
      <c r="G128">
        <v>69.851283274747999</v>
      </c>
      <c r="H128" t="str">
        <f>VLOOKUP(F128,Hoja1!$A$2:$B$8,2,0)</f>
        <v>Unidades</v>
      </c>
      <c r="I128">
        <f t="shared" si="1"/>
        <v>2384</v>
      </c>
    </row>
    <row r="129" spans="1:9" x14ac:dyDescent="0.25">
      <c r="A129" t="s">
        <v>21</v>
      </c>
      <c r="B129" t="s">
        <v>22</v>
      </c>
      <c r="C129">
        <v>2023</v>
      </c>
      <c r="D129" t="s">
        <v>59</v>
      </c>
      <c r="E129">
        <v>999</v>
      </c>
      <c r="F129" t="s">
        <v>64</v>
      </c>
      <c r="G129">
        <v>69.851283274747999</v>
      </c>
      <c r="H129" t="str">
        <f>VLOOKUP(F129,Hoja1!$A$2:$B$8,2,0)</f>
        <v>Unidades</v>
      </c>
      <c r="I129">
        <f t="shared" si="1"/>
        <v>999</v>
      </c>
    </row>
    <row r="130" spans="1:9" x14ac:dyDescent="0.25">
      <c r="A130" t="s">
        <v>23</v>
      </c>
      <c r="B130" t="s">
        <v>24</v>
      </c>
      <c r="C130">
        <v>2023</v>
      </c>
      <c r="D130" t="s">
        <v>59</v>
      </c>
      <c r="E130">
        <v>21456</v>
      </c>
      <c r="F130" t="s">
        <v>64</v>
      </c>
      <c r="G130">
        <v>130.15281667511999</v>
      </c>
      <c r="H130" t="str">
        <f>VLOOKUP(F130,Hoja1!$A$2:$B$8,2,0)</f>
        <v>Unidades</v>
      </c>
      <c r="I130">
        <f t="shared" si="1"/>
        <v>21456</v>
      </c>
    </row>
    <row r="131" spans="1:9" x14ac:dyDescent="0.25">
      <c r="A131" t="s">
        <v>25</v>
      </c>
      <c r="B131" t="s">
        <v>26</v>
      </c>
      <c r="C131">
        <v>2023</v>
      </c>
      <c r="D131" t="s">
        <v>59</v>
      </c>
      <c r="E131">
        <v>15292</v>
      </c>
      <c r="F131" t="s">
        <v>64</v>
      </c>
      <c r="G131">
        <v>89.311059064592001</v>
      </c>
      <c r="H131" t="str">
        <f>VLOOKUP(F131,Hoja1!$A$2:$B$8,2,0)</f>
        <v>Unidades</v>
      </c>
      <c r="I131">
        <f t="shared" ref="I131:I194" si="2">IFERROR(IF(H131="Millones de dólares",E131/G131*100,E131),"")</f>
        <v>15292</v>
      </c>
    </row>
    <row r="132" spans="1:9" x14ac:dyDescent="0.25">
      <c r="A132" t="s">
        <v>27</v>
      </c>
      <c r="B132" t="s">
        <v>28</v>
      </c>
      <c r="C132">
        <v>2023</v>
      </c>
      <c r="D132" t="s">
        <v>59</v>
      </c>
      <c r="E132">
        <v>3244</v>
      </c>
      <c r="F132" t="s">
        <v>64</v>
      </c>
      <c r="G132">
        <v>89.311059064592001</v>
      </c>
      <c r="H132" t="str">
        <f>VLOOKUP(F132,Hoja1!$A$2:$B$8,2,0)</f>
        <v>Unidades</v>
      </c>
      <c r="I132">
        <f t="shared" si="2"/>
        <v>3244</v>
      </c>
    </row>
    <row r="133" spans="1:9" x14ac:dyDescent="0.25">
      <c r="A133" t="s">
        <v>31</v>
      </c>
      <c r="B133" t="s">
        <v>32</v>
      </c>
      <c r="C133">
        <v>2023</v>
      </c>
      <c r="D133" t="s">
        <v>59</v>
      </c>
      <c r="E133">
        <v>29897</v>
      </c>
      <c r="F133" t="s">
        <v>64</v>
      </c>
      <c r="G133">
        <v>179.38969123864001</v>
      </c>
      <c r="H133" t="str">
        <f>VLOOKUP(F133,Hoja1!$A$2:$B$8,2,0)</f>
        <v>Unidades</v>
      </c>
      <c r="I133">
        <f t="shared" si="2"/>
        <v>29897</v>
      </c>
    </row>
    <row r="134" spans="1:9" x14ac:dyDescent="0.25">
      <c r="A134" t="s">
        <v>33</v>
      </c>
      <c r="B134" t="s">
        <v>34</v>
      </c>
      <c r="C134">
        <v>2023</v>
      </c>
      <c r="D134" t="s">
        <v>59</v>
      </c>
      <c r="E134">
        <v>10785</v>
      </c>
      <c r="F134" t="s">
        <v>64</v>
      </c>
      <c r="G134">
        <v>179.38969123864001</v>
      </c>
      <c r="H134" t="str">
        <f>VLOOKUP(F134,Hoja1!$A$2:$B$8,2,0)</f>
        <v>Unidades</v>
      </c>
      <c r="I134">
        <f t="shared" si="2"/>
        <v>10785</v>
      </c>
    </row>
    <row r="135" spans="1:9" x14ac:dyDescent="0.25">
      <c r="A135" t="s">
        <v>35</v>
      </c>
      <c r="B135" t="s">
        <v>36</v>
      </c>
      <c r="C135">
        <v>2023</v>
      </c>
      <c r="D135" t="s">
        <v>59</v>
      </c>
      <c r="E135">
        <v>21284</v>
      </c>
      <c r="F135" t="s">
        <v>64</v>
      </c>
      <c r="G135">
        <v>179.38969123864001</v>
      </c>
      <c r="H135" t="str">
        <f>VLOOKUP(F135,Hoja1!$A$2:$B$8,2,0)</f>
        <v>Unidades</v>
      </c>
      <c r="I135">
        <f t="shared" si="2"/>
        <v>21284</v>
      </c>
    </row>
    <row r="136" spans="1:9" x14ac:dyDescent="0.25">
      <c r="A136" t="s">
        <v>37</v>
      </c>
      <c r="B136" t="s">
        <v>38</v>
      </c>
      <c r="C136">
        <v>2023</v>
      </c>
      <c r="D136" t="s">
        <v>59</v>
      </c>
      <c r="E136">
        <v>16910</v>
      </c>
      <c r="F136" t="s">
        <v>64</v>
      </c>
      <c r="G136">
        <v>137.65188865636</v>
      </c>
      <c r="H136" t="str">
        <f>VLOOKUP(F136,Hoja1!$A$2:$B$8,2,0)</f>
        <v>Unidades</v>
      </c>
      <c r="I136">
        <f t="shared" si="2"/>
        <v>16910</v>
      </c>
    </row>
    <row r="137" spans="1:9" x14ac:dyDescent="0.25">
      <c r="A137" t="s">
        <v>39</v>
      </c>
      <c r="B137" t="s">
        <v>40</v>
      </c>
      <c r="C137">
        <v>2023</v>
      </c>
      <c r="D137" t="s">
        <v>59</v>
      </c>
      <c r="E137">
        <v>6347</v>
      </c>
      <c r="F137" t="s">
        <v>64</v>
      </c>
      <c r="G137">
        <v>140.40843314838</v>
      </c>
      <c r="H137" t="str">
        <f>VLOOKUP(F137,Hoja1!$A$2:$B$8,2,0)</f>
        <v>Unidades</v>
      </c>
      <c r="I137">
        <f t="shared" si="2"/>
        <v>6347</v>
      </c>
    </row>
    <row r="138" spans="1:9" x14ac:dyDescent="0.25">
      <c r="A138" t="s">
        <v>41</v>
      </c>
      <c r="B138" t="s">
        <v>42</v>
      </c>
      <c r="C138">
        <v>2023</v>
      </c>
      <c r="D138" t="s">
        <v>59</v>
      </c>
      <c r="E138">
        <v>16826</v>
      </c>
      <c r="F138" t="s">
        <v>64</v>
      </c>
      <c r="G138">
        <v>140.40843314838</v>
      </c>
      <c r="H138" t="str">
        <f>VLOOKUP(F138,Hoja1!$A$2:$B$8,2,0)</f>
        <v>Unidades</v>
      </c>
      <c r="I138">
        <f t="shared" si="2"/>
        <v>16826</v>
      </c>
    </row>
    <row r="139" spans="1:9" x14ac:dyDescent="0.25">
      <c r="A139" t="s">
        <v>43</v>
      </c>
      <c r="B139" t="s">
        <v>44</v>
      </c>
      <c r="C139">
        <v>2023</v>
      </c>
      <c r="D139" t="s">
        <v>59</v>
      </c>
      <c r="E139">
        <v>346</v>
      </c>
      <c r="F139" t="s">
        <v>64</v>
      </c>
      <c r="G139">
        <v>140.40843314838</v>
      </c>
      <c r="H139" t="str">
        <f>VLOOKUP(F139,Hoja1!$A$2:$B$8,2,0)</f>
        <v>Unidades</v>
      </c>
      <c r="I139">
        <f t="shared" si="2"/>
        <v>346</v>
      </c>
    </row>
    <row r="140" spans="1:9" x14ac:dyDescent="0.25">
      <c r="A140" t="s">
        <v>45</v>
      </c>
      <c r="B140" t="s">
        <v>46</v>
      </c>
      <c r="C140">
        <v>2023</v>
      </c>
      <c r="D140" t="s">
        <v>59</v>
      </c>
      <c r="E140">
        <v>5836</v>
      </c>
      <c r="F140" t="s">
        <v>64</v>
      </c>
      <c r="G140">
        <v>140.40843314838</v>
      </c>
      <c r="H140" t="str">
        <f>VLOOKUP(F140,Hoja1!$A$2:$B$8,2,0)</f>
        <v>Unidades</v>
      </c>
      <c r="I140">
        <f t="shared" si="2"/>
        <v>5836</v>
      </c>
    </row>
    <row r="141" spans="1:9" x14ac:dyDescent="0.25">
      <c r="A141" t="s">
        <v>47</v>
      </c>
      <c r="B141" t="s">
        <v>48</v>
      </c>
      <c r="C141">
        <v>2023</v>
      </c>
      <c r="D141" t="s">
        <v>59</v>
      </c>
      <c r="E141">
        <v>6552</v>
      </c>
      <c r="F141" t="s">
        <v>64</v>
      </c>
      <c r="G141">
        <v>140.40843314838</v>
      </c>
      <c r="H141" t="str">
        <f>VLOOKUP(F141,Hoja1!$A$2:$B$8,2,0)</f>
        <v>Unidades</v>
      </c>
      <c r="I141">
        <f t="shared" si="2"/>
        <v>6552</v>
      </c>
    </row>
    <row r="142" spans="1:9" x14ac:dyDescent="0.25">
      <c r="A142" t="s">
        <v>49</v>
      </c>
      <c r="B142" t="s">
        <v>50</v>
      </c>
      <c r="C142">
        <v>2023</v>
      </c>
      <c r="D142" t="s">
        <v>59</v>
      </c>
      <c r="E142">
        <v>1417</v>
      </c>
      <c r="F142" t="s">
        <v>64</v>
      </c>
      <c r="G142">
        <v>142.91079324044</v>
      </c>
      <c r="H142" t="str">
        <f>VLOOKUP(F142,Hoja1!$A$2:$B$8,2,0)</f>
        <v>Unidades</v>
      </c>
      <c r="I142">
        <f t="shared" si="2"/>
        <v>1417</v>
      </c>
    </row>
    <row r="143" spans="1:9" x14ac:dyDescent="0.25">
      <c r="A143" t="s">
        <v>51</v>
      </c>
      <c r="B143" t="s">
        <v>52</v>
      </c>
      <c r="C143">
        <v>2023</v>
      </c>
      <c r="D143" t="s">
        <v>59</v>
      </c>
      <c r="E143">
        <v>653</v>
      </c>
      <c r="F143" t="s">
        <v>64</v>
      </c>
      <c r="G143">
        <v>140.40843314838</v>
      </c>
      <c r="H143" t="str">
        <f>VLOOKUP(F143,Hoja1!$A$2:$B$8,2,0)</f>
        <v>Unidades</v>
      </c>
      <c r="I143">
        <f t="shared" si="2"/>
        <v>653</v>
      </c>
    </row>
    <row r="144" spans="1:9" x14ac:dyDescent="0.25">
      <c r="A144" t="s">
        <v>53</v>
      </c>
      <c r="B144" t="s">
        <v>54</v>
      </c>
      <c r="C144">
        <v>2023</v>
      </c>
      <c r="D144" t="s">
        <v>59</v>
      </c>
      <c r="E144">
        <v>9179</v>
      </c>
      <c r="F144" t="s">
        <v>64</v>
      </c>
      <c r="G144">
        <v>130.15281667511999</v>
      </c>
      <c r="H144" t="str">
        <f>VLOOKUP(F144,Hoja1!$A$2:$B$8,2,0)</f>
        <v>Unidades</v>
      </c>
      <c r="I144">
        <f t="shared" si="2"/>
        <v>9179</v>
      </c>
    </row>
    <row r="145" spans="1:9" x14ac:dyDescent="0.25">
      <c r="A145" t="s">
        <v>55</v>
      </c>
      <c r="B145" t="s">
        <v>56</v>
      </c>
      <c r="C145">
        <v>2023</v>
      </c>
      <c r="D145" t="s">
        <v>59</v>
      </c>
      <c r="E145">
        <v>1570</v>
      </c>
      <c r="F145" t="s">
        <v>64</v>
      </c>
      <c r="G145">
        <v>142.91079324044</v>
      </c>
      <c r="H145" t="str">
        <f>VLOOKUP(F145,Hoja1!$A$2:$B$8,2,0)</f>
        <v>Unidades</v>
      </c>
      <c r="I145">
        <f t="shared" si="2"/>
        <v>1570</v>
      </c>
    </row>
    <row r="146" spans="1:9" x14ac:dyDescent="0.25">
      <c r="A146" t="s">
        <v>57</v>
      </c>
      <c r="B146" t="s">
        <v>58</v>
      </c>
      <c r="C146">
        <v>2023</v>
      </c>
      <c r="D146" t="s">
        <v>59</v>
      </c>
      <c r="E146">
        <v>25270</v>
      </c>
      <c r="F146" t="s">
        <v>64</v>
      </c>
      <c r="G146">
        <v>142.91079324044</v>
      </c>
      <c r="H146" t="str">
        <f>VLOOKUP(F146,Hoja1!$A$2:$B$8,2,0)</f>
        <v>Unidades</v>
      </c>
      <c r="I146">
        <f t="shared" si="2"/>
        <v>25270</v>
      </c>
    </row>
    <row r="147" spans="1:9" x14ac:dyDescent="0.25">
      <c r="A147" t="s">
        <v>60</v>
      </c>
      <c r="B147" t="s">
        <v>61</v>
      </c>
      <c r="C147">
        <v>2023</v>
      </c>
      <c r="D147" t="s">
        <v>59</v>
      </c>
      <c r="E147">
        <v>13990</v>
      </c>
      <c r="F147" t="s">
        <v>64</v>
      </c>
      <c r="G147">
        <v>142.91079324044</v>
      </c>
      <c r="H147" t="str">
        <f>VLOOKUP(F147,Hoja1!$A$2:$B$8,2,0)</f>
        <v>Unidades</v>
      </c>
      <c r="I147">
        <f t="shared" si="2"/>
        <v>13990</v>
      </c>
    </row>
    <row r="148" spans="1:9" x14ac:dyDescent="0.25">
      <c r="A148" t="s">
        <v>7</v>
      </c>
      <c r="B148" t="s">
        <v>8</v>
      </c>
      <c r="C148">
        <v>2023</v>
      </c>
      <c r="D148" t="s">
        <v>62</v>
      </c>
      <c r="E148">
        <v>275413</v>
      </c>
      <c r="F148" t="s">
        <v>64</v>
      </c>
      <c r="G148">
        <v>113.1</v>
      </c>
      <c r="H148" t="str">
        <f>VLOOKUP(F148,Hoja1!$A$2:$B$8,2,0)</f>
        <v>Unidades</v>
      </c>
      <c r="I148">
        <f t="shared" si="2"/>
        <v>275413</v>
      </c>
    </row>
    <row r="149" spans="1:9" x14ac:dyDescent="0.25">
      <c r="A149" t="s">
        <v>11</v>
      </c>
      <c r="B149" t="s">
        <v>12</v>
      </c>
      <c r="C149">
        <v>2023</v>
      </c>
      <c r="D149" t="s">
        <v>62</v>
      </c>
      <c r="E149">
        <v>143916</v>
      </c>
      <c r="F149" t="s">
        <v>64</v>
      </c>
      <c r="G149">
        <v>114.9804580639055</v>
      </c>
      <c r="H149" t="str">
        <f>VLOOKUP(F149,Hoja1!$A$2:$B$8,2,0)</f>
        <v>Unidades</v>
      </c>
      <c r="I149">
        <f t="shared" si="2"/>
        <v>143916</v>
      </c>
    </row>
    <row r="150" spans="1:9" x14ac:dyDescent="0.25">
      <c r="A150" t="s">
        <v>13</v>
      </c>
      <c r="B150" t="s">
        <v>14</v>
      </c>
      <c r="C150">
        <v>2023</v>
      </c>
      <c r="D150" t="s">
        <v>62</v>
      </c>
      <c r="E150">
        <v>8870</v>
      </c>
      <c r="F150" t="s">
        <v>64</v>
      </c>
      <c r="G150">
        <v>106.29477728169449</v>
      </c>
      <c r="H150" t="str">
        <f>VLOOKUP(F150,Hoja1!$A$2:$B$8,2,0)</f>
        <v>Unidades</v>
      </c>
      <c r="I150">
        <f t="shared" si="2"/>
        <v>8870</v>
      </c>
    </row>
    <row r="151" spans="1:9" x14ac:dyDescent="0.25">
      <c r="A151" t="s">
        <v>17</v>
      </c>
      <c r="B151" t="s">
        <v>18</v>
      </c>
      <c r="C151">
        <v>2023</v>
      </c>
      <c r="D151" t="s">
        <v>62</v>
      </c>
      <c r="E151">
        <v>11336</v>
      </c>
      <c r="F151" t="s">
        <v>64</v>
      </c>
      <c r="G151">
        <v>112.5907184615296</v>
      </c>
      <c r="H151" t="str">
        <f>VLOOKUP(F151,Hoja1!$A$2:$B$8,2,0)</f>
        <v>Unidades</v>
      </c>
      <c r="I151">
        <f t="shared" si="2"/>
        <v>11336</v>
      </c>
    </row>
    <row r="152" spans="1:9" x14ac:dyDescent="0.25">
      <c r="A152" t="s">
        <v>19</v>
      </c>
      <c r="B152" t="s">
        <v>20</v>
      </c>
      <c r="C152">
        <v>2023</v>
      </c>
      <c r="D152" t="s">
        <v>62</v>
      </c>
      <c r="E152">
        <v>8672</v>
      </c>
      <c r="F152" t="s">
        <v>64</v>
      </c>
      <c r="G152">
        <v>109.28697630462941</v>
      </c>
      <c r="H152" t="str">
        <f>VLOOKUP(F152,Hoja1!$A$2:$B$8,2,0)</f>
        <v>Unidades</v>
      </c>
      <c r="I152">
        <f t="shared" si="2"/>
        <v>8672</v>
      </c>
    </row>
    <row r="153" spans="1:9" x14ac:dyDescent="0.25">
      <c r="A153" t="s">
        <v>21</v>
      </c>
      <c r="B153" t="s">
        <v>22</v>
      </c>
      <c r="C153">
        <v>2023</v>
      </c>
      <c r="D153" t="s">
        <v>62</v>
      </c>
      <c r="E153">
        <v>6466</v>
      </c>
      <c r="F153" t="s">
        <v>64</v>
      </c>
      <c r="G153">
        <v>106.2037461670578</v>
      </c>
      <c r="H153" t="str">
        <f>VLOOKUP(F153,Hoja1!$A$2:$B$8,2,0)</f>
        <v>Unidades</v>
      </c>
      <c r="I153">
        <f t="shared" si="2"/>
        <v>6466</v>
      </c>
    </row>
    <row r="154" spans="1:9" x14ac:dyDescent="0.25">
      <c r="A154" t="s">
        <v>23</v>
      </c>
      <c r="B154" t="s">
        <v>24</v>
      </c>
      <c r="C154">
        <v>2023</v>
      </c>
      <c r="D154" t="s">
        <v>62</v>
      </c>
      <c r="E154">
        <v>4834</v>
      </c>
      <c r="F154" t="s">
        <v>64</v>
      </c>
      <c r="G154">
        <v>100.1653065390686</v>
      </c>
      <c r="H154" t="str">
        <f>VLOOKUP(F154,Hoja1!$A$2:$B$8,2,0)</f>
        <v>Unidades</v>
      </c>
      <c r="I154">
        <f t="shared" si="2"/>
        <v>4834</v>
      </c>
    </row>
    <row r="155" spans="1:9" x14ac:dyDescent="0.25">
      <c r="A155" t="s">
        <v>25</v>
      </c>
      <c r="B155" t="s">
        <v>26</v>
      </c>
      <c r="C155">
        <v>2023</v>
      </c>
      <c r="D155" t="s">
        <v>62</v>
      </c>
      <c r="E155">
        <v>10213</v>
      </c>
      <c r="F155" t="s">
        <v>64</v>
      </c>
      <c r="G155">
        <v>88.55771450914564</v>
      </c>
      <c r="H155" t="str">
        <f>VLOOKUP(F155,Hoja1!$A$2:$B$8,2,0)</f>
        <v>Unidades</v>
      </c>
      <c r="I155">
        <f t="shared" si="2"/>
        <v>10213</v>
      </c>
    </row>
    <row r="156" spans="1:9" x14ac:dyDescent="0.25">
      <c r="A156" t="s">
        <v>27</v>
      </c>
      <c r="B156" t="s">
        <v>28</v>
      </c>
      <c r="C156">
        <v>2023</v>
      </c>
      <c r="D156" t="s">
        <v>62</v>
      </c>
      <c r="E156">
        <v>2009</v>
      </c>
      <c r="F156" t="s">
        <v>64</v>
      </c>
      <c r="G156">
        <v>136.11617005701791</v>
      </c>
      <c r="H156" t="str">
        <f>VLOOKUP(F156,Hoja1!$A$2:$B$8,2,0)</f>
        <v>Unidades</v>
      </c>
      <c r="I156">
        <f t="shared" si="2"/>
        <v>2009</v>
      </c>
    </row>
    <row r="157" spans="1:9" x14ac:dyDescent="0.25">
      <c r="A157" t="s">
        <v>29</v>
      </c>
      <c r="B157" t="s">
        <v>30</v>
      </c>
      <c r="C157">
        <v>2023</v>
      </c>
      <c r="D157" t="s">
        <v>62</v>
      </c>
      <c r="E157">
        <v>4450</v>
      </c>
      <c r="F157" t="s">
        <v>64</v>
      </c>
      <c r="G157">
        <v>100.24856061097501</v>
      </c>
      <c r="H157" t="str">
        <f>VLOOKUP(F157,Hoja1!$A$2:$B$8,2,0)</f>
        <v>Unidades</v>
      </c>
      <c r="I157">
        <f t="shared" si="2"/>
        <v>4450</v>
      </c>
    </row>
    <row r="158" spans="1:9" x14ac:dyDescent="0.25">
      <c r="A158" t="s">
        <v>31</v>
      </c>
      <c r="B158" t="s">
        <v>32</v>
      </c>
      <c r="C158">
        <v>2023</v>
      </c>
      <c r="D158" t="s">
        <v>62</v>
      </c>
      <c r="E158">
        <v>10857</v>
      </c>
      <c r="F158" t="s">
        <v>64</v>
      </c>
      <c r="G158">
        <v>99.157550875022267</v>
      </c>
      <c r="H158" t="str">
        <f>VLOOKUP(F158,Hoja1!$A$2:$B$8,2,0)</f>
        <v>Unidades</v>
      </c>
      <c r="I158">
        <f t="shared" si="2"/>
        <v>10857</v>
      </c>
    </row>
    <row r="159" spans="1:9" x14ac:dyDescent="0.25">
      <c r="A159" t="s">
        <v>33</v>
      </c>
      <c r="B159" t="s">
        <v>34</v>
      </c>
      <c r="C159">
        <v>2023</v>
      </c>
      <c r="D159" t="s">
        <v>62</v>
      </c>
      <c r="E159">
        <v>5383</v>
      </c>
      <c r="F159" t="s">
        <v>64</v>
      </c>
      <c r="G159">
        <v>100.3225939694341</v>
      </c>
      <c r="H159" t="str">
        <f>VLOOKUP(F159,Hoja1!$A$2:$B$8,2,0)</f>
        <v>Unidades</v>
      </c>
      <c r="I159">
        <f t="shared" si="2"/>
        <v>5383</v>
      </c>
    </row>
    <row r="160" spans="1:9" x14ac:dyDescent="0.25">
      <c r="A160" t="s">
        <v>35</v>
      </c>
      <c r="B160" t="s">
        <v>36</v>
      </c>
      <c r="C160">
        <v>2023</v>
      </c>
      <c r="D160" t="s">
        <v>62</v>
      </c>
      <c r="E160">
        <v>15009</v>
      </c>
      <c r="F160" t="s">
        <v>64</v>
      </c>
      <c r="G160">
        <v>127.00031785476931</v>
      </c>
      <c r="H160" t="str">
        <f>VLOOKUP(F160,Hoja1!$A$2:$B$8,2,0)</f>
        <v>Unidades</v>
      </c>
      <c r="I160">
        <f t="shared" si="2"/>
        <v>15009</v>
      </c>
    </row>
    <row r="161" spans="1:9" x14ac:dyDescent="0.25">
      <c r="A161" t="s">
        <v>37</v>
      </c>
      <c r="B161" t="s">
        <v>38</v>
      </c>
      <c r="C161">
        <v>2023</v>
      </c>
      <c r="D161" t="s">
        <v>62</v>
      </c>
      <c r="E161">
        <v>6553</v>
      </c>
      <c r="F161" t="s">
        <v>64</v>
      </c>
      <c r="G161">
        <v>107.5767446910823</v>
      </c>
      <c r="H161" t="str">
        <f>VLOOKUP(F161,Hoja1!$A$2:$B$8,2,0)</f>
        <v>Unidades</v>
      </c>
      <c r="I161">
        <f t="shared" si="2"/>
        <v>6553</v>
      </c>
    </row>
    <row r="162" spans="1:9" x14ac:dyDescent="0.25">
      <c r="A162" t="s">
        <v>39</v>
      </c>
      <c r="B162" t="s">
        <v>40</v>
      </c>
      <c r="C162">
        <v>2023</v>
      </c>
      <c r="D162" t="s">
        <v>62</v>
      </c>
      <c r="E162">
        <v>6711</v>
      </c>
      <c r="F162" t="s">
        <v>64</v>
      </c>
      <c r="G162">
        <v>117.7576015297401</v>
      </c>
      <c r="H162" t="str">
        <f>VLOOKUP(F162,Hoja1!$A$2:$B$8,2,0)</f>
        <v>Unidades</v>
      </c>
      <c r="I162">
        <f t="shared" si="2"/>
        <v>6711</v>
      </c>
    </row>
    <row r="163" spans="1:9" x14ac:dyDescent="0.25">
      <c r="A163" t="s">
        <v>41</v>
      </c>
      <c r="B163" t="s">
        <v>42</v>
      </c>
      <c r="C163">
        <v>2023</v>
      </c>
      <c r="D163" t="s">
        <v>62</v>
      </c>
      <c r="E163">
        <v>7001</v>
      </c>
      <c r="F163" t="s">
        <v>64</v>
      </c>
      <c r="G163">
        <v>116.8817233821558</v>
      </c>
      <c r="H163" t="str">
        <f>VLOOKUP(F163,Hoja1!$A$2:$B$8,2,0)</f>
        <v>Unidades</v>
      </c>
      <c r="I163">
        <f t="shared" si="2"/>
        <v>7001</v>
      </c>
    </row>
    <row r="164" spans="1:9" x14ac:dyDescent="0.25">
      <c r="A164" t="s">
        <v>43</v>
      </c>
      <c r="B164" t="s">
        <v>44</v>
      </c>
      <c r="C164">
        <v>2023</v>
      </c>
      <c r="D164" t="s">
        <v>62</v>
      </c>
      <c r="E164">
        <v>3405</v>
      </c>
      <c r="F164" t="s">
        <v>64</v>
      </c>
      <c r="G164">
        <v>193.20352629865999</v>
      </c>
      <c r="H164" t="str">
        <f>VLOOKUP(F164,Hoja1!$A$2:$B$8,2,0)</f>
        <v>Unidades</v>
      </c>
      <c r="I164">
        <f t="shared" si="2"/>
        <v>3405</v>
      </c>
    </row>
    <row r="165" spans="1:9" x14ac:dyDescent="0.25">
      <c r="A165" t="s">
        <v>45</v>
      </c>
      <c r="B165" t="s">
        <v>46</v>
      </c>
      <c r="C165">
        <v>2023</v>
      </c>
      <c r="D165" t="s">
        <v>62</v>
      </c>
      <c r="E165">
        <v>5002</v>
      </c>
      <c r="F165" t="s">
        <v>64</v>
      </c>
      <c r="G165">
        <v>134.59808747086339</v>
      </c>
      <c r="H165" t="str">
        <f>VLOOKUP(F165,Hoja1!$A$2:$B$8,2,0)</f>
        <v>Unidades</v>
      </c>
      <c r="I165">
        <f t="shared" si="2"/>
        <v>5002</v>
      </c>
    </row>
    <row r="166" spans="1:9" x14ac:dyDescent="0.25">
      <c r="A166" t="s">
        <v>47</v>
      </c>
      <c r="B166" t="s">
        <v>48</v>
      </c>
      <c r="C166">
        <v>2023</v>
      </c>
      <c r="D166" t="s">
        <v>62</v>
      </c>
      <c r="E166">
        <v>1708</v>
      </c>
      <c r="F166" t="s">
        <v>64</v>
      </c>
      <c r="G166">
        <v>102.9481438461891</v>
      </c>
      <c r="H166" t="str">
        <f>VLOOKUP(F166,Hoja1!$A$2:$B$8,2,0)</f>
        <v>Unidades</v>
      </c>
      <c r="I166">
        <f t="shared" si="2"/>
        <v>1708</v>
      </c>
    </row>
    <row r="167" spans="1:9" x14ac:dyDescent="0.25">
      <c r="A167" t="s">
        <v>49</v>
      </c>
      <c r="B167" t="s">
        <v>50</v>
      </c>
      <c r="C167">
        <v>2023</v>
      </c>
      <c r="D167" t="s">
        <v>62</v>
      </c>
      <c r="E167">
        <v>1651</v>
      </c>
      <c r="F167" t="s">
        <v>64</v>
      </c>
      <c r="G167">
        <v>113.1</v>
      </c>
      <c r="H167" t="str">
        <f>VLOOKUP(F167,Hoja1!$A$2:$B$8,2,0)</f>
        <v>Unidades</v>
      </c>
      <c r="I167">
        <f t="shared" si="2"/>
        <v>1651</v>
      </c>
    </row>
    <row r="168" spans="1:9" x14ac:dyDescent="0.25">
      <c r="A168" t="s">
        <v>51</v>
      </c>
      <c r="B168" t="s">
        <v>52</v>
      </c>
      <c r="C168">
        <v>2023</v>
      </c>
      <c r="D168" t="s">
        <v>62</v>
      </c>
      <c r="E168">
        <v>2646</v>
      </c>
      <c r="F168" t="s">
        <v>64</v>
      </c>
      <c r="G168">
        <v>110.1098857895461</v>
      </c>
      <c r="H168" t="str">
        <f>VLOOKUP(F168,Hoja1!$A$2:$B$8,2,0)</f>
        <v>Unidades</v>
      </c>
      <c r="I168">
        <f t="shared" si="2"/>
        <v>2646</v>
      </c>
    </row>
    <row r="169" spans="1:9" x14ac:dyDescent="0.25">
      <c r="A169" t="s">
        <v>53</v>
      </c>
      <c r="B169" t="s">
        <v>54</v>
      </c>
      <c r="C169">
        <v>2023</v>
      </c>
      <c r="D169" t="s">
        <v>62</v>
      </c>
      <c r="E169">
        <v>4015</v>
      </c>
      <c r="F169" t="s">
        <v>64</v>
      </c>
      <c r="G169">
        <v>117.4474935307215</v>
      </c>
      <c r="H169" t="str">
        <f>VLOOKUP(F169,Hoja1!$A$2:$B$8,2,0)</f>
        <v>Unidades</v>
      </c>
      <c r="I169">
        <f t="shared" si="2"/>
        <v>4015</v>
      </c>
    </row>
    <row r="170" spans="1:9" x14ac:dyDescent="0.25">
      <c r="A170" t="s">
        <v>55</v>
      </c>
      <c r="B170" t="s">
        <v>56</v>
      </c>
      <c r="C170">
        <v>2023</v>
      </c>
      <c r="D170" t="s">
        <v>62</v>
      </c>
      <c r="E170">
        <v>229</v>
      </c>
      <c r="F170" t="s">
        <v>64</v>
      </c>
      <c r="G170">
        <v>109.95244477332351</v>
      </c>
      <c r="H170" t="str">
        <f>VLOOKUP(F170,Hoja1!$A$2:$B$8,2,0)</f>
        <v>Unidades</v>
      </c>
      <c r="I170">
        <f t="shared" si="2"/>
        <v>229</v>
      </c>
    </row>
    <row r="171" spans="1:9" x14ac:dyDescent="0.25">
      <c r="A171" t="s">
        <v>57</v>
      </c>
      <c r="B171" t="s">
        <v>58</v>
      </c>
      <c r="C171">
        <v>2023</v>
      </c>
      <c r="D171" t="s">
        <v>62</v>
      </c>
      <c r="E171">
        <v>4470</v>
      </c>
      <c r="F171" t="s">
        <v>64</v>
      </c>
      <c r="G171">
        <v>113.1</v>
      </c>
      <c r="H171" t="str">
        <f>VLOOKUP(F171,Hoja1!$A$2:$B$8,2,0)</f>
        <v>Unidades</v>
      </c>
      <c r="I171">
        <f t="shared" si="2"/>
        <v>4470</v>
      </c>
    </row>
    <row r="172" spans="1:9" x14ac:dyDescent="0.25">
      <c r="A172" t="s">
        <v>7</v>
      </c>
      <c r="B172" t="s">
        <v>8</v>
      </c>
      <c r="C172">
        <v>2023</v>
      </c>
      <c r="D172" t="s">
        <v>9</v>
      </c>
      <c r="E172">
        <v>114356.84</v>
      </c>
      <c r="F172" t="s">
        <v>65</v>
      </c>
      <c r="H172" t="str">
        <f>VLOOKUP(F172,Hoja1!$A$2:$B$8,2,0)</f>
        <v>Millones de dólares</v>
      </c>
      <c r="I172" t="str">
        <f t="shared" si="2"/>
        <v/>
      </c>
    </row>
    <row r="173" spans="1:9" x14ac:dyDescent="0.25">
      <c r="A173" t="s">
        <v>11</v>
      </c>
      <c r="B173" t="s">
        <v>12</v>
      </c>
      <c r="C173">
        <v>2023</v>
      </c>
      <c r="D173" t="s">
        <v>9</v>
      </c>
      <c r="E173">
        <v>23294.44</v>
      </c>
      <c r="F173" t="s">
        <v>65</v>
      </c>
      <c r="H173" t="str">
        <f>VLOOKUP(F173,Hoja1!$A$2:$B$8,2,0)</f>
        <v>Millones de dólares</v>
      </c>
      <c r="I173" t="str">
        <f t="shared" si="2"/>
        <v/>
      </c>
    </row>
    <row r="174" spans="1:9" x14ac:dyDescent="0.25">
      <c r="A174" t="s">
        <v>13</v>
      </c>
      <c r="B174" t="s">
        <v>14</v>
      </c>
      <c r="C174">
        <v>2023</v>
      </c>
      <c r="D174" t="s">
        <v>9</v>
      </c>
      <c r="E174">
        <v>3163.83</v>
      </c>
      <c r="F174" t="s">
        <v>65</v>
      </c>
      <c r="H174" t="str">
        <f>VLOOKUP(F174,Hoja1!$A$2:$B$8,2,0)</f>
        <v>Millones de dólares</v>
      </c>
      <c r="I174" t="str">
        <f t="shared" si="2"/>
        <v/>
      </c>
    </row>
    <row r="175" spans="1:9" x14ac:dyDescent="0.25">
      <c r="A175" t="s">
        <v>15</v>
      </c>
      <c r="B175" t="s">
        <v>16</v>
      </c>
      <c r="C175">
        <v>2023</v>
      </c>
      <c r="D175" t="s">
        <v>9</v>
      </c>
      <c r="E175">
        <v>468.51</v>
      </c>
      <c r="F175" t="s">
        <v>65</v>
      </c>
      <c r="H175" t="str">
        <f>VLOOKUP(F175,Hoja1!$A$2:$B$8,2,0)</f>
        <v>Millones de dólares</v>
      </c>
      <c r="I175" t="str">
        <f t="shared" si="2"/>
        <v/>
      </c>
    </row>
    <row r="176" spans="1:9" x14ac:dyDescent="0.25">
      <c r="A176" t="s">
        <v>17</v>
      </c>
      <c r="B176" t="s">
        <v>18</v>
      </c>
      <c r="C176">
        <v>2023</v>
      </c>
      <c r="D176" t="s">
        <v>9</v>
      </c>
      <c r="E176">
        <v>2398.25</v>
      </c>
      <c r="F176" t="s">
        <v>65</v>
      </c>
      <c r="H176" t="str">
        <f>VLOOKUP(F176,Hoja1!$A$2:$B$8,2,0)</f>
        <v>Millones de dólares</v>
      </c>
      <c r="I176" t="str">
        <f t="shared" si="2"/>
        <v/>
      </c>
    </row>
    <row r="177" spans="1:9" x14ac:dyDescent="0.25">
      <c r="A177" t="s">
        <v>19</v>
      </c>
      <c r="B177" t="s">
        <v>20</v>
      </c>
      <c r="C177">
        <v>2023</v>
      </c>
      <c r="D177" t="s">
        <v>9</v>
      </c>
      <c r="E177">
        <v>2573.77</v>
      </c>
      <c r="F177" t="s">
        <v>65</v>
      </c>
      <c r="H177" t="str">
        <f>VLOOKUP(F177,Hoja1!$A$2:$B$8,2,0)</f>
        <v>Millones de dólares</v>
      </c>
      <c r="I177" t="str">
        <f t="shared" si="2"/>
        <v/>
      </c>
    </row>
    <row r="178" spans="1:9" x14ac:dyDescent="0.25">
      <c r="A178" t="s">
        <v>21</v>
      </c>
      <c r="B178" t="s">
        <v>22</v>
      </c>
      <c r="C178">
        <v>2023</v>
      </c>
      <c r="D178" t="s">
        <v>9</v>
      </c>
      <c r="E178">
        <v>2184.8000000000002</v>
      </c>
      <c r="F178" t="s">
        <v>65</v>
      </c>
      <c r="H178" t="str">
        <f>VLOOKUP(F178,Hoja1!$A$2:$B$8,2,0)</f>
        <v>Millones de dólares</v>
      </c>
      <c r="I178" t="str">
        <f t="shared" si="2"/>
        <v/>
      </c>
    </row>
    <row r="179" spans="1:9" x14ac:dyDescent="0.25">
      <c r="A179" t="s">
        <v>23</v>
      </c>
      <c r="B179" t="s">
        <v>24</v>
      </c>
      <c r="C179">
        <v>2023</v>
      </c>
      <c r="D179" t="s">
        <v>9</v>
      </c>
      <c r="E179">
        <v>1281.46</v>
      </c>
      <c r="F179" t="s">
        <v>65</v>
      </c>
      <c r="H179" t="str">
        <f>VLOOKUP(F179,Hoja1!$A$2:$B$8,2,0)</f>
        <v>Millones de dólares</v>
      </c>
      <c r="I179" t="str">
        <f t="shared" si="2"/>
        <v/>
      </c>
    </row>
    <row r="180" spans="1:9" x14ac:dyDescent="0.25">
      <c r="A180" t="s">
        <v>25</v>
      </c>
      <c r="B180" t="s">
        <v>26</v>
      </c>
      <c r="C180">
        <v>2023</v>
      </c>
      <c r="D180" t="s">
        <v>9</v>
      </c>
      <c r="E180">
        <v>4167.4399999999996</v>
      </c>
      <c r="F180" t="s">
        <v>65</v>
      </c>
      <c r="H180" t="str">
        <f>VLOOKUP(F180,Hoja1!$A$2:$B$8,2,0)</f>
        <v>Millones de dólares</v>
      </c>
      <c r="I180" t="str">
        <f t="shared" si="2"/>
        <v/>
      </c>
    </row>
    <row r="181" spans="1:9" x14ac:dyDescent="0.25">
      <c r="A181" t="s">
        <v>27</v>
      </c>
      <c r="B181" t="s">
        <v>28</v>
      </c>
      <c r="C181">
        <v>2023</v>
      </c>
      <c r="D181" t="s">
        <v>9</v>
      </c>
      <c r="E181">
        <v>685.07</v>
      </c>
      <c r="F181" t="s">
        <v>65</v>
      </c>
      <c r="H181" t="str">
        <f>VLOOKUP(F181,Hoja1!$A$2:$B$8,2,0)</f>
        <v>Millones de dólares</v>
      </c>
      <c r="I181" t="str">
        <f t="shared" si="2"/>
        <v/>
      </c>
    </row>
    <row r="182" spans="1:9" x14ac:dyDescent="0.25">
      <c r="A182" t="s">
        <v>29</v>
      </c>
      <c r="B182" t="s">
        <v>30</v>
      </c>
      <c r="C182">
        <v>2023</v>
      </c>
      <c r="D182" t="s">
        <v>9</v>
      </c>
      <c r="E182">
        <v>7169.91</v>
      </c>
      <c r="F182" t="s">
        <v>65</v>
      </c>
      <c r="H182" t="str">
        <f>VLOOKUP(F182,Hoja1!$A$2:$B$8,2,0)</f>
        <v>Millones de dólares</v>
      </c>
      <c r="I182" t="str">
        <f t="shared" si="2"/>
        <v/>
      </c>
    </row>
    <row r="183" spans="1:9" x14ac:dyDescent="0.25">
      <c r="A183" t="s">
        <v>31</v>
      </c>
      <c r="B183" t="s">
        <v>32</v>
      </c>
      <c r="C183">
        <v>2023</v>
      </c>
      <c r="D183" t="s">
        <v>9</v>
      </c>
      <c r="E183">
        <v>10091.469999999999</v>
      </c>
      <c r="F183" t="s">
        <v>65</v>
      </c>
      <c r="H183" t="str">
        <f>VLOOKUP(F183,Hoja1!$A$2:$B$8,2,0)</f>
        <v>Millones de dólares</v>
      </c>
      <c r="I183" t="str">
        <f t="shared" si="2"/>
        <v/>
      </c>
    </row>
    <row r="184" spans="1:9" x14ac:dyDescent="0.25">
      <c r="A184" t="s">
        <v>33</v>
      </c>
      <c r="B184" t="s">
        <v>34</v>
      </c>
      <c r="C184">
        <v>2023</v>
      </c>
      <c r="D184" t="s">
        <v>9</v>
      </c>
      <c r="E184">
        <v>3966.97</v>
      </c>
      <c r="F184" t="s">
        <v>65</v>
      </c>
      <c r="H184" t="str">
        <f>VLOOKUP(F184,Hoja1!$A$2:$B$8,2,0)</f>
        <v>Millones de dólares</v>
      </c>
      <c r="I184" t="str">
        <f t="shared" si="2"/>
        <v/>
      </c>
    </row>
    <row r="185" spans="1:9" x14ac:dyDescent="0.25">
      <c r="A185" t="s">
        <v>35</v>
      </c>
      <c r="B185" t="s">
        <v>36</v>
      </c>
      <c r="C185">
        <v>2023</v>
      </c>
      <c r="D185" t="s">
        <v>9</v>
      </c>
      <c r="E185">
        <v>5169.38</v>
      </c>
      <c r="F185" t="s">
        <v>65</v>
      </c>
      <c r="H185" t="str">
        <f>VLOOKUP(F185,Hoja1!$A$2:$B$8,2,0)</f>
        <v>Millones de dólares</v>
      </c>
      <c r="I185" t="str">
        <f t="shared" si="2"/>
        <v/>
      </c>
    </row>
    <row r="186" spans="1:9" x14ac:dyDescent="0.25">
      <c r="A186" t="s">
        <v>37</v>
      </c>
      <c r="B186" t="s">
        <v>38</v>
      </c>
      <c r="C186">
        <v>2023</v>
      </c>
      <c r="D186" t="s">
        <v>9</v>
      </c>
      <c r="E186">
        <v>4373.99</v>
      </c>
      <c r="F186" t="s">
        <v>65</v>
      </c>
      <c r="H186" t="str">
        <f>VLOOKUP(F186,Hoja1!$A$2:$B$8,2,0)</f>
        <v>Millones de dólares</v>
      </c>
      <c r="I186" t="str">
        <f t="shared" si="2"/>
        <v/>
      </c>
    </row>
    <row r="187" spans="1:9" x14ac:dyDescent="0.25">
      <c r="A187" t="s">
        <v>39</v>
      </c>
      <c r="B187" t="s">
        <v>40</v>
      </c>
      <c r="C187">
        <v>2023</v>
      </c>
      <c r="D187" t="s">
        <v>9</v>
      </c>
      <c r="E187">
        <v>5814.56</v>
      </c>
      <c r="F187" t="s">
        <v>65</v>
      </c>
      <c r="H187" t="str">
        <f>VLOOKUP(F187,Hoja1!$A$2:$B$8,2,0)</f>
        <v>Millones de dólares</v>
      </c>
      <c r="I187" t="str">
        <f t="shared" si="2"/>
        <v/>
      </c>
    </row>
    <row r="188" spans="1:9" x14ac:dyDescent="0.25">
      <c r="A188" t="s">
        <v>41</v>
      </c>
      <c r="B188" t="s">
        <v>42</v>
      </c>
      <c r="C188">
        <v>2023</v>
      </c>
      <c r="D188" t="s">
        <v>9</v>
      </c>
      <c r="E188">
        <v>4412.2700000000004</v>
      </c>
      <c r="F188" t="s">
        <v>65</v>
      </c>
      <c r="H188" t="str">
        <f>VLOOKUP(F188,Hoja1!$A$2:$B$8,2,0)</f>
        <v>Millones de dólares</v>
      </c>
      <c r="I188" t="str">
        <f t="shared" si="2"/>
        <v/>
      </c>
    </row>
    <row r="189" spans="1:9" x14ac:dyDescent="0.25">
      <c r="A189" t="s">
        <v>43</v>
      </c>
      <c r="B189" t="s">
        <v>44</v>
      </c>
      <c r="C189">
        <v>2023</v>
      </c>
      <c r="D189" t="s">
        <v>9</v>
      </c>
      <c r="E189">
        <v>2639.04</v>
      </c>
      <c r="F189" t="s">
        <v>65</v>
      </c>
      <c r="H189" t="str">
        <f>VLOOKUP(F189,Hoja1!$A$2:$B$8,2,0)</f>
        <v>Millones de dólares</v>
      </c>
      <c r="I189" t="str">
        <f t="shared" si="2"/>
        <v/>
      </c>
    </row>
    <row r="190" spans="1:9" x14ac:dyDescent="0.25">
      <c r="A190" t="s">
        <v>45</v>
      </c>
      <c r="B190" t="s">
        <v>46</v>
      </c>
      <c r="C190">
        <v>2023</v>
      </c>
      <c r="D190" t="s">
        <v>9</v>
      </c>
      <c r="E190">
        <v>4426.07</v>
      </c>
      <c r="F190" t="s">
        <v>65</v>
      </c>
      <c r="H190" t="str">
        <f>VLOOKUP(F190,Hoja1!$A$2:$B$8,2,0)</f>
        <v>Millones de dólares</v>
      </c>
      <c r="I190" t="str">
        <f t="shared" si="2"/>
        <v/>
      </c>
    </row>
    <row r="191" spans="1:9" x14ac:dyDescent="0.25">
      <c r="A191" t="s">
        <v>47</v>
      </c>
      <c r="B191" t="s">
        <v>48</v>
      </c>
      <c r="C191">
        <v>2023</v>
      </c>
      <c r="D191" t="s">
        <v>9</v>
      </c>
      <c r="E191">
        <v>7828.97</v>
      </c>
      <c r="F191" t="s">
        <v>65</v>
      </c>
      <c r="H191" t="str">
        <f>VLOOKUP(F191,Hoja1!$A$2:$B$8,2,0)</f>
        <v>Millones de dólares</v>
      </c>
      <c r="I191" t="str">
        <f t="shared" si="2"/>
        <v/>
      </c>
    </row>
    <row r="192" spans="1:9" x14ac:dyDescent="0.25">
      <c r="A192" t="s">
        <v>49</v>
      </c>
      <c r="B192" t="s">
        <v>50</v>
      </c>
      <c r="C192">
        <v>2023</v>
      </c>
      <c r="D192" t="s">
        <v>9</v>
      </c>
      <c r="E192">
        <v>10214.83</v>
      </c>
      <c r="F192" t="s">
        <v>65</v>
      </c>
      <c r="H192" t="str">
        <f>VLOOKUP(F192,Hoja1!$A$2:$B$8,2,0)</f>
        <v>Millones de dólares</v>
      </c>
      <c r="I192" t="str">
        <f t="shared" si="2"/>
        <v/>
      </c>
    </row>
    <row r="193" spans="1:9" x14ac:dyDescent="0.25">
      <c r="A193" t="s">
        <v>51</v>
      </c>
      <c r="B193" t="s">
        <v>52</v>
      </c>
      <c r="C193">
        <v>2023</v>
      </c>
      <c r="D193" t="s">
        <v>9</v>
      </c>
      <c r="E193">
        <v>2126.13</v>
      </c>
      <c r="F193" t="s">
        <v>65</v>
      </c>
      <c r="H193" t="str">
        <f>VLOOKUP(F193,Hoja1!$A$2:$B$8,2,0)</f>
        <v>Millones de dólares</v>
      </c>
      <c r="I193" t="str">
        <f t="shared" si="2"/>
        <v/>
      </c>
    </row>
    <row r="194" spans="1:9" x14ac:dyDescent="0.25">
      <c r="A194" t="s">
        <v>53</v>
      </c>
      <c r="B194" t="s">
        <v>54</v>
      </c>
      <c r="C194">
        <v>2023</v>
      </c>
      <c r="D194" t="s">
        <v>9</v>
      </c>
      <c r="E194">
        <v>1663.27</v>
      </c>
      <c r="F194" t="s">
        <v>65</v>
      </c>
      <c r="H194" t="str">
        <f>VLOOKUP(F194,Hoja1!$A$2:$B$8,2,0)</f>
        <v>Millones de dólares</v>
      </c>
      <c r="I194" t="str">
        <f t="shared" si="2"/>
        <v/>
      </c>
    </row>
    <row r="195" spans="1:9" x14ac:dyDescent="0.25">
      <c r="A195" t="s">
        <v>55</v>
      </c>
      <c r="B195" t="s">
        <v>56</v>
      </c>
      <c r="C195">
        <v>2023</v>
      </c>
      <c r="D195" t="s">
        <v>9</v>
      </c>
      <c r="E195">
        <v>1598.94</v>
      </c>
      <c r="F195" t="s">
        <v>65</v>
      </c>
      <c r="H195" t="str">
        <f>VLOOKUP(F195,Hoja1!$A$2:$B$8,2,0)</f>
        <v>Millones de dólares</v>
      </c>
      <c r="I195" t="str">
        <f t="shared" ref="I195:I258" si="3">IFERROR(IF(H195="Millones de dólares",E195/G195*100,E195),"")</f>
        <v/>
      </c>
    </row>
    <row r="196" spans="1:9" x14ac:dyDescent="0.25">
      <c r="A196" t="s">
        <v>57</v>
      </c>
      <c r="B196" t="s">
        <v>58</v>
      </c>
      <c r="C196">
        <v>2023</v>
      </c>
      <c r="D196" t="s">
        <v>9</v>
      </c>
      <c r="E196">
        <v>2643.47</v>
      </c>
      <c r="F196" t="s">
        <v>65</v>
      </c>
      <c r="H196" t="str">
        <f>VLOOKUP(F196,Hoja1!$A$2:$B$8,2,0)</f>
        <v>Millones de dólares</v>
      </c>
      <c r="I196" t="str">
        <f t="shared" si="3"/>
        <v/>
      </c>
    </row>
    <row r="197" spans="1:9" x14ac:dyDescent="0.25">
      <c r="A197" t="s">
        <v>7</v>
      </c>
      <c r="B197" t="s">
        <v>8</v>
      </c>
      <c r="C197">
        <v>2023</v>
      </c>
      <c r="D197" t="s">
        <v>59</v>
      </c>
      <c r="E197">
        <v>7341.21</v>
      </c>
      <c r="F197" t="s">
        <v>65</v>
      </c>
      <c r="G197">
        <v>142.91079324044</v>
      </c>
      <c r="H197" t="str">
        <f>VLOOKUP(F197,Hoja1!$A$2:$B$8,2,0)</f>
        <v>Millones de dólares</v>
      </c>
      <c r="I197">
        <f t="shared" si="3"/>
        <v>5136.9178167311657</v>
      </c>
    </row>
    <row r="198" spans="1:9" x14ac:dyDescent="0.25">
      <c r="A198" t="s">
        <v>11</v>
      </c>
      <c r="B198" t="s">
        <v>12</v>
      </c>
      <c r="C198">
        <v>2023</v>
      </c>
      <c r="D198" t="s">
        <v>59</v>
      </c>
      <c r="E198">
        <v>2463.2800000000002</v>
      </c>
      <c r="F198" t="s">
        <v>65</v>
      </c>
      <c r="G198">
        <v>150.08579535058001</v>
      </c>
      <c r="H198" t="str">
        <f>VLOOKUP(F198,Hoja1!$A$2:$B$8,2,0)</f>
        <v>Millones de dólares</v>
      </c>
      <c r="I198">
        <f t="shared" si="3"/>
        <v>1641.2479237266346</v>
      </c>
    </row>
    <row r="199" spans="1:9" x14ac:dyDescent="0.25">
      <c r="A199" t="s">
        <v>13</v>
      </c>
      <c r="B199" t="s">
        <v>14</v>
      </c>
      <c r="C199">
        <v>2023</v>
      </c>
      <c r="D199" t="s">
        <v>59</v>
      </c>
      <c r="E199">
        <v>356.26</v>
      </c>
      <c r="F199" t="s">
        <v>65</v>
      </c>
      <c r="G199">
        <v>129.0410448209</v>
      </c>
      <c r="H199" t="str">
        <f>VLOOKUP(F199,Hoja1!$A$2:$B$8,2,0)</f>
        <v>Millones de dólares</v>
      </c>
      <c r="I199">
        <f t="shared" si="3"/>
        <v>276.08269949647735</v>
      </c>
    </row>
    <row r="200" spans="1:9" x14ac:dyDescent="0.25">
      <c r="A200" t="s">
        <v>17</v>
      </c>
      <c r="B200" t="s">
        <v>18</v>
      </c>
      <c r="C200">
        <v>2023</v>
      </c>
      <c r="D200" t="s">
        <v>59</v>
      </c>
      <c r="E200">
        <v>43</v>
      </c>
      <c r="F200" t="s">
        <v>65</v>
      </c>
      <c r="G200">
        <v>69.851283274747999</v>
      </c>
      <c r="H200" t="str">
        <f>VLOOKUP(F200,Hoja1!$A$2:$B$8,2,0)</f>
        <v>Millones de dólares</v>
      </c>
      <c r="I200">
        <f t="shared" si="3"/>
        <v>61.559355797182569</v>
      </c>
    </row>
    <row r="201" spans="1:9" x14ac:dyDescent="0.25">
      <c r="A201" t="s">
        <v>19</v>
      </c>
      <c r="B201" t="s">
        <v>20</v>
      </c>
      <c r="C201">
        <v>2023</v>
      </c>
      <c r="D201" t="s">
        <v>59</v>
      </c>
      <c r="E201">
        <v>29.11</v>
      </c>
      <c r="F201" t="s">
        <v>65</v>
      </c>
      <c r="G201">
        <v>69.851283274747999</v>
      </c>
      <c r="H201" t="str">
        <f>VLOOKUP(F201,Hoja1!$A$2:$B$8,2,0)</f>
        <v>Millones de dólares</v>
      </c>
      <c r="I201">
        <f t="shared" si="3"/>
        <v>41.67425226176708</v>
      </c>
    </row>
    <row r="202" spans="1:9" x14ac:dyDescent="0.25">
      <c r="A202" t="s">
        <v>21</v>
      </c>
      <c r="B202" t="s">
        <v>22</v>
      </c>
      <c r="C202">
        <v>2023</v>
      </c>
      <c r="D202" t="s">
        <v>59</v>
      </c>
      <c r="E202">
        <v>16.149999999999999</v>
      </c>
      <c r="F202" t="s">
        <v>65</v>
      </c>
      <c r="G202">
        <v>69.851283274747999</v>
      </c>
      <c r="H202" t="str">
        <f>VLOOKUP(F202,Hoja1!$A$2:$B$8,2,0)</f>
        <v>Millones de dólares</v>
      </c>
      <c r="I202">
        <f t="shared" si="3"/>
        <v>23.120548747081358</v>
      </c>
    </row>
    <row r="203" spans="1:9" x14ac:dyDescent="0.25">
      <c r="A203" t="s">
        <v>23</v>
      </c>
      <c r="B203" t="s">
        <v>24</v>
      </c>
      <c r="C203">
        <v>2023</v>
      </c>
      <c r="D203" t="s">
        <v>59</v>
      </c>
      <c r="E203">
        <v>344.3</v>
      </c>
      <c r="F203" t="s">
        <v>65</v>
      </c>
      <c r="G203">
        <v>130.15281667511999</v>
      </c>
      <c r="H203" t="str">
        <f>VLOOKUP(F203,Hoja1!$A$2:$B$8,2,0)</f>
        <v>Millones de dólares</v>
      </c>
      <c r="I203">
        <f t="shared" si="3"/>
        <v>264.53518932242702</v>
      </c>
    </row>
    <row r="204" spans="1:9" x14ac:dyDescent="0.25">
      <c r="A204" t="s">
        <v>25</v>
      </c>
      <c r="B204" t="s">
        <v>26</v>
      </c>
      <c r="C204">
        <v>2023</v>
      </c>
      <c r="D204" t="s">
        <v>59</v>
      </c>
      <c r="E204">
        <v>335.81</v>
      </c>
      <c r="F204" t="s">
        <v>65</v>
      </c>
      <c r="G204">
        <v>89.311059064592001</v>
      </c>
      <c r="H204" t="str">
        <f>VLOOKUP(F204,Hoja1!$A$2:$B$8,2,0)</f>
        <v>Millones de dólares</v>
      </c>
      <c r="I204">
        <f t="shared" si="3"/>
        <v>376.00046793436161</v>
      </c>
    </row>
    <row r="205" spans="1:9" x14ac:dyDescent="0.25">
      <c r="A205" t="s">
        <v>27</v>
      </c>
      <c r="B205" t="s">
        <v>28</v>
      </c>
      <c r="C205">
        <v>2023</v>
      </c>
      <c r="D205" t="s">
        <v>59</v>
      </c>
      <c r="E205">
        <v>84.66</v>
      </c>
      <c r="F205" t="s">
        <v>65</v>
      </c>
      <c r="G205">
        <v>89.311059064592001</v>
      </c>
      <c r="H205" t="str">
        <f>VLOOKUP(F205,Hoja1!$A$2:$B$8,2,0)</f>
        <v>Millones de dólares</v>
      </c>
      <c r="I205">
        <f t="shared" si="3"/>
        <v>94.792292115550609</v>
      </c>
    </row>
    <row r="206" spans="1:9" x14ac:dyDescent="0.25">
      <c r="A206" t="s">
        <v>31</v>
      </c>
      <c r="B206" t="s">
        <v>32</v>
      </c>
      <c r="C206">
        <v>2023</v>
      </c>
      <c r="D206" t="s">
        <v>59</v>
      </c>
      <c r="E206">
        <v>832.69</v>
      </c>
      <c r="F206" t="s">
        <v>65</v>
      </c>
      <c r="G206">
        <v>179.38969123864001</v>
      </c>
      <c r="H206" t="str">
        <f>VLOOKUP(F206,Hoja1!$A$2:$B$8,2,0)</f>
        <v>Millones de dólares</v>
      </c>
      <c r="I206">
        <f t="shared" si="3"/>
        <v>464.17940420683499</v>
      </c>
    </row>
    <row r="207" spans="1:9" x14ac:dyDescent="0.25">
      <c r="A207" t="s">
        <v>33</v>
      </c>
      <c r="B207" t="s">
        <v>34</v>
      </c>
      <c r="C207">
        <v>2023</v>
      </c>
      <c r="D207" t="s">
        <v>59</v>
      </c>
      <c r="E207">
        <v>253.58</v>
      </c>
      <c r="F207" t="s">
        <v>65</v>
      </c>
      <c r="G207">
        <v>179.38969123864001</v>
      </c>
      <c r="H207" t="str">
        <f>VLOOKUP(F207,Hoja1!$A$2:$B$8,2,0)</f>
        <v>Millones de dólares</v>
      </c>
      <c r="I207">
        <f t="shared" si="3"/>
        <v>141.35706363564978</v>
      </c>
    </row>
    <row r="208" spans="1:9" x14ac:dyDescent="0.25">
      <c r="A208" t="s">
        <v>35</v>
      </c>
      <c r="B208" t="s">
        <v>36</v>
      </c>
      <c r="C208">
        <v>2023</v>
      </c>
      <c r="D208" t="s">
        <v>59</v>
      </c>
      <c r="E208">
        <v>382.22</v>
      </c>
      <c r="F208" t="s">
        <v>65</v>
      </c>
      <c r="G208">
        <v>179.38969123864001</v>
      </c>
      <c r="H208" t="str">
        <f>VLOOKUP(F208,Hoja1!$A$2:$B$8,2,0)</f>
        <v>Millones de dólares</v>
      </c>
      <c r="I208">
        <f t="shared" si="3"/>
        <v>213.06686987466699</v>
      </c>
    </row>
    <row r="209" spans="1:9" x14ac:dyDescent="0.25">
      <c r="A209" t="s">
        <v>37</v>
      </c>
      <c r="B209" t="s">
        <v>38</v>
      </c>
      <c r="C209">
        <v>2023</v>
      </c>
      <c r="D209" t="s">
        <v>59</v>
      </c>
      <c r="E209">
        <v>328.4</v>
      </c>
      <c r="F209" t="s">
        <v>65</v>
      </c>
      <c r="G209">
        <v>137.65188865636</v>
      </c>
      <c r="H209" t="str">
        <f>VLOOKUP(F209,Hoja1!$A$2:$B$8,2,0)</f>
        <v>Millones de dólares</v>
      </c>
      <c r="I209">
        <f t="shared" si="3"/>
        <v>238.57282541166697</v>
      </c>
    </row>
    <row r="210" spans="1:9" x14ac:dyDescent="0.25">
      <c r="A210" t="s">
        <v>39</v>
      </c>
      <c r="B210" t="s">
        <v>40</v>
      </c>
      <c r="C210">
        <v>2023</v>
      </c>
      <c r="D210" t="s">
        <v>59</v>
      </c>
      <c r="E210">
        <v>140.49</v>
      </c>
      <c r="F210" t="s">
        <v>65</v>
      </c>
      <c r="G210">
        <v>140.40843314838</v>
      </c>
      <c r="H210" t="str">
        <f>VLOOKUP(F210,Hoja1!$A$2:$B$8,2,0)</f>
        <v>Millones de dólares</v>
      </c>
      <c r="I210">
        <f t="shared" si="3"/>
        <v>100.05809255882359</v>
      </c>
    </row>
    <row r="211" spans="1:9" x14ac:dyDescent="0.25">
      <c r="A211" t="s">
        <v>41</v>
      </c>
      <c r="B211" t="s">
        <v>42</v>
      </c>
      <c r="C211">
        <v>2023</v>
      </c>
      <c r="D211" t="s">
        <v>59</v>
      </c>
      <c r="E211">
        <v>419.45</v>
      </c>
      <c r="F211" t="s">
        <v>65</v>
      </c>
      <c r="G211">
        <v>140.40843314838</v>
      </c>
      <c r="H211" t="str">
        <f>VLOOKUP(F211,Hoja1!$A$2:$B$8,2,0)</f>
        <v>Millones de dólares</v>
      </c>
      <c r="I211">
        <f t="shared" si="3"/>
        <v>298.73561765106808</v>
      </c>
    </row>
    <row r="212" spans="1:9" x14ac:dyDescent="0.25">
      <c r="A212" t="s">
        <v>43</v>
      </c>
      <c r="B212" t="s">
        <v>44</v>
      </c>
      <c r="C212">
        <v>2023</v>
      </c>
      <c r="D212" t="s">
        <v>59</v>
      </c>
      <c r="E212">
        <v>5.67</v>
      </c>
      <c r="F212" t="s">
        <v>65</v>
      </c>
      <c r="G212">
        <v>140.40843314838</v>
      </c>
      <c r="H212" t="str">
        <f>VLOOKUP(F212,Hoja1!$A$2:$B$8,2,0)</f>
        <v>Millones de dólares</v>
      </c>
      <c r="I212">
        <f t="shared" si="3"/>
        <v>4.0382189821946737</v>
      </c>
    </row>
    <row r="213" spans="1:9" x14ac:dyDescent="0.25">
      <c r="A213" t="s">
        <v>45</v>
      </c>
      <c r="B213" t="s">
        <v>46</v>
      </c>
      <c r="C213">
        <v>2023</v>
      </c>
      <c r="D213" t="s">
        <v>59</v>
      </c>
      <c r="E213">
        <v>135.88</v>
      </c>
      <c r="F213" t="s">
        <v>65</v>
      </c>
      <c r="G213">
        <v>140.40843314838</v>
      </c>
      <c r="H213" t="str">
        <f>VLOOKUP(F213,Hoja1!$A$2:$B$8,2,0)</f>
        <v>Millones de dólares</v>
      </c>
      <c r="I213">
        <f t="shared" si="3"/>
        <v>96.774813985998648</v>
      </c>
    </row>
    <row r="214" spans="1:9" x14ac:dyDescent="0.25">
      <c r="A214" t="s">
        <v>47</v>
      </c>
      <c r="B214" t="s">
        <v>48</v>
      </c>
      <c r="C214">
        <v>2023</v>
      </c>
      <c r="D214" t="s">
        <v>59</v>
      </c>
      <c r="E214">
        <v>140.33000000000001</v>
      </c>
      <c r="F214" t="s">
        <v>65</v>
      </c>
      <c r="G214">
        <v>140.40843314838</v>
      </c>
      <c r="H214" t="str">
        <f>VLOOKUP(F214,Hoja1!$A$2:$B$8,2,0)</f>
        <v>Millones de dólares</v>
      </c>
      <c r="I214">
        <f t="shared" si="3"/>
        <v>99.944139289484767</v>
      </c>
    </row>
    <row r="215" spans="1:9" x14ac:dyDescent="0.25">
      <c r="A215" t="s">
        <v>49</v>
      </c>
      <c r="B215" t="s">
        <v>50</v>
      </c>
      <c r="C215">
        <v>2023</v>
      </c>
      <c r="D215" t="s">
        <v>59</v>
      </c>
      <c r="E215">
        <v>23.19</v>
      </c>
      <c r="F215" t="s">
        <v>65</v>
      </c>
      <c r="G215">
        <v>142.91079324044</v>
      </c>
      <c r="H215" t="str">
        <f>VLOOKUP(F215,Hoja1!$A$2:$B$8,2,0)</f>
        <v>Millones de dólares</v>
      </c>
      <c r="I215">
        <f t="shared" si="3"/>
        <v>16.226905941935421</v>
      </c>
    </row>
    <row r="216" spans="1:9" x14ac:dyDescent="0.25">
      <c r="A216" t="s">
        <v>51</v>
      </c>
      <c r="B216" t="s">
        <v>52</v>
      </c>
      <c r="C216">
        <v>2023</v>
      </c>
      <c r="D216" t="s">
        <v>59</v>
      </c>
      <c r="E216">
        <v>8.39</v>
      </c>
      <c r="F216" t="s">
        <v>65</v>
      </c>
      <c r="G216">
        <v>140.40843314838</v>
      </c>
      <c r="H216" t="str">
        <f>VLOOKUP(F216,Hoja1!$A$2:$B$8,2,0)</f>
        <v>Millones de dólares</v>
      </c>
      <c r="I216">
        <f t="shared" si="3"/>
        <v>5.9754245609547301</v>
      </c>
    </row>
    <row r="217" spans="1:9" x14ac:dyDescent="0.25">
      <c r="A217" t="s">
        <v>53</v>
      </c>
      <c r="B217" t="s">
        <v>54</v>
      </c>
      <c r="C217">
        <v>2023</v>
      </c>
      <c r="D217" t="s">
        <v>59</v>
      </c>
      <c r="E217">
        <v>133.88999999999999</v>
      </c>
      <c r="F217" t="s">
        <v>65</v>
      </c>
      <c r="G217">
        <v>130.15281667511999</v>
      </c>
      <c r="H217" t="str">
        <f>VLOOKUP(F217,Hoja1!$A$2:$B$8,2,0)</f>
        <v>Millones de dólares</v>
      </c>
      <c r="I217">
        <f t="shared" si="3"/>
        <v>102.87138105832049</v>
      </c>
    </row>
    <row r="218" spans="1:9" x14ac:dyDescent="0.25">
      <c r="A218" t="s">
        <v>55</v>
      </c>
      <c r="B218" t="s">
        <v>56</v>
      </c>
      <c r="C218">
        <v>2023</v>
      </c>
      <c r="D218" t="s">
        <v>59</v>
      </c>
      <c r="E218">
        <v>33.68</v>
      </c>
      <c r="F218" t="s">
        <v>65</v>
      </c>
      <c r="G218">
        <v>142.91079324044</v>
      </c>
      <c r="H218" t="str">
        <f>VLOOKUP(F218,Hoja1!$A$2:$B$8,2,0)</f>
        <v>Millones de dólares</v>
      </c>
      <c r="I218">
        <f t="shared" si="3"/>
        <v>23.567149293850147</v>
      </c>
    </row>
    <row r="219" spans="1:9" x14ac:dyDescent="0.25">
      <c r="A219" t="s">
        <v>57</v>
      </c>
      <c r="B219" t="s">
        <v>58</v>
      </c>
      <c r="C219">
        <v>2023</v>
      </c>
      <c r="D219" t="s">
        <v>59</v>
      </c>
      <c r="E219">
        <v>454.29</v>
      </c>
      <c r="F219" t="s">
        <v>65</v>
      </c>
      <c r="G219">
        <v>142.91079324044</v>
      </c>
      <c r="H219" t="str">
        <f>VLOOKUP(F219,Hoja1!$A$2:$B$8,2,0)</f>
        <v>Millones de dólares</v>
      </c>
      <c r="I219">
        <f t="shared" si="3"/>
        <v>317.8836179543701</v>
      </c>
    </row>
    <row r="220" spans="1:9" x14ac:dyDescent="0.25">
      <c r="A220" t="s">
        <v>60</v>
      </c>
      <c r="B220" t="s">
        <v>61</v>
      </c>
      <c r="C220">
        <v>2023</v>
      </c>
      <c r="D220" t="s">
        <v>59</v>
      </c>
      <c r="E220">
        <v>376.49</v>
      </c>
      <c r="F220" t="s">
        <v>65</v>
      </c>
      <c r="G220">
        <v>142.91079324044</v>
      </c>
      <c r="H220" t="str">
        <f>VLOOKUP(F220,Hoja1!$A$2:$B$8,2,0)</f>
        <v>Millones de dólares</v>
      </c>
      <c r="I220">
        <f t="shared" si="3"/>
        <v>263.44406287534565</v>
      </c>
    </row>
    <row r="221" spans="1:9" x14ac:dyDescent="0.25">
      <c r="A221" t="s">
        <v>7</v>
      </c>
      <c r="B221" t="s">
        <v>8</v>
      </c>
      <c r="C221">
        <v>2023</v>
      </c>
      <c r="D221" t="s">
        <v>62</v>
      </c>
      <c r="E221">
        <v>5017.4399999999996</v>
      </c>
      <c r="F221" t="s">
        <v>65</v>
      </c>
      <c r="G221">
        <v>113.1</v>
      </c>
      <c r="H221" t="str">
        <f>VLOOKUP(F221,Hoja1!$A$2:$B$8,2,0)</f>
        <v>Millones de dólares</v>
      </c>
      <c r="I221">
        <f t="shared" si="3"/>
        <v>4436.2864721485412</v>
      </c>
    </row>
    <row r="222" spans="1:9" x14ac:dyDescent="0.25">
      <c r="A222" t="s">
        <v>11</v>
      </c>
      <c r="B222" t="s">
        <v>12</v>
      </c>
      <c r="C222">
        <v>2023</v>
      </c>
      <c r="D222" t="s">
        <v>62</v>
      </c>
      <c r="E222">
        <v>2363.5500000000002</v>
      </c>
      <c r="F222" t="s">
        <v>65</v>
      </c>
      <c r="G222">
        <v>114.9804580639055</v>
      </c>
      <c r="H222" t="str">
        <f>VLOOKUP(F222,Hoja1!$A$2:$B$8,2,0)</f>
        <v>Millones de dólares</v>
      </c>
      <c r="I222">
        <f t="shared" si="3"/>
        <v>2055.6101791544024</v>
      </c>
    </row>
    <row r="223" spans="1:9" x14ac:dyDescent="0.25">
      <c r="A223" t="s">
        <v>13</v>
      </c>
      <c r="B223" t="s">
        <v>14</v>
      </c>
      <c r="C223">
        <v>2023</v>
      </c>
      <c r="D223" t="s">
        <v>62</v>
      </c>
      <c r="E223">
        <v>187.52</v>
      </c>
      <c r="F223" t="s">
        <v>65</v>
      </c>
      <c r="G223">
        <v>106.29477728169449</v>
      </c>
      <c r="H223" t="str">
        <f>VLOOKUP(F223,Hoja1!$A$2:$B$8,2,0)</f>
        <v>Millones de dólares</v>
      </c>
      <c r="I223">
        <f t="shared" si="3"/>
        <v>176.41506459254202</v>
      </c>
    </row>
    <row r="224" spans="1:9" x14ac:dyDescent="0.25">
      <c r="A224" t="s">
        <v>17</v>
      </c>
      <c r="B224" t="s">
        <v>18</v>
      </c>
      <c r="C224">
        <v>2023</v>
      </c>
      <c r="D224" t="s">
        <v>62</v>
      </c>
      <c r="E224">
        <v>165.59</v>
      </c>
      <c r="F224" t="s">
        <v>65</v>
      </c>
      <c r="G224">
        <v>112.5907184615296</v>
      </c>
      <c r="H224" t="str">
        <f>VLOOKUP(F224,Hoja1!$A$2:$B$8,2,0)</f>
        <v>Millones de dólares</v>
      </c>
      <c r="I224">
        <f t="shared" si="3"/>
        <v>147.07251384720436</v>
      </c>
    </row>
    <row r="225" spans="1:9" x14ac:dyDescent="0.25">
      <c r="A225" t="s">
        <v>19</v>
      </c>
      <c r="B225" t="s">
        <v>20</v>
      </c>
      <c r="C225">
        <v>2023</v>
      </c>
      <c r="D225" t="s">
        <v>62</v>
      </c>
      <c r="E225">
        <v>89.89</v>
      </c>
      <c r="F225" t="s">
        <v>65</v>
      </c>
      <c r="G225">
        <v>109.28697630462941</v>
      </c>
      <c r="H225" t="str">
        <f>VLOOKUP(F225,Hoja1!$A$2:$B$8,2,0)</f>
        <v>Millones de dólares</v>
      </c>
      <c r="I225">
        <f t="shared" si="3"/>
        <v>82.251337752668945</v>
      </c>
    </row>
    <row r="226" spans="1:9" x14ac:dyDescent="0.25">
      <c r="A226" t="s">
        <v>21</v>
      </c>
      <c r="B226" t="s">
        <v>22</v>
      </c>
      <c r="C226">
        <v>2023</v>
      </c>
      <c r="D226" t="s">
        <v>62</v>
      </c>
      <c r="E226">
        <v>80.099999999999994</v>
      </c>
      <c r="F226" t="s">
        <v>65</v>
      </c>
      <c r="G226">
        <v>106.2037461670578</v>
      </c>
      <c r="H226" t="str">
        <f>VLOOKUP(F226,Hoja1!$A$2:$B$8,2,0)</f>
        <v>Millones de dólares</v>
      </c>
      <c r="I226">
        <f t="shared" si="3"/>
        <v>75.421068362318607</v>
      </c>
    </row>
    <row r="227" spans="1:9" x14ac:dyDescent="0.25">
      <c r="A227" t="s">
        <v>23</v>
      </c>
      <c r="B227" t="s">
        <v>24</v>
      </c>
      <c r="C227">
        <v>2023</v>
      </c>
      <c r="D227" t="s">
        <v>62</v>
      </c>
      <c r="E227">
        <v>83.5</v>
      </c>
      <c r="F227" t="s">
        <v>65</v>
      </c>
      <c r="G227">
        <v>100.1653065390686</v>
      </c>
      <c r="H227" t="str">
        <f>VLOOKUP(F227,Hoja1!$A$2:$B$8,2,0)</f>
        <v>Millones de dólares</v>
      </c>
      <c r="I227">
        <f t="shared" si="3"/>
        <v>83.36219683751635</v>
      </c>
    </row>
    <row r="228" spans="1:9" x14ac:dyDescent="0.25">
      <c r="A228" t="s">
        <v>25</v>
      </c>
      <c r="B228" t="s">
        <v>26</v>
      </c>
      <c r="C228">
        <v>2023</v>
      </c>
      <c r="D228" t="s">
        <v>62</v>
      </c>
      <c r="E228">
        <v>216.21</v>
      </c>
      <c r="F228" t="s">
        <v>65</v>
      </c>
      <c r="G228">
        <v>88.55771450914564</v>
      </c>
      <c r="H228" t="str">
        <f>VLOOKUP(F228,Hoja1!$A$2:$B$8,2,0)</f>
        <v>Millones de dólares</v>
      </c>
      <c r="I228">
        <f t="shared" si="3"/>
        <v>244.14586713128341</v>
      </c>
    </row>
    <row r="229" spans="1:9" x14ac:dyDescent="0.25">
      <c r="A229" t="s">
        <v>27</v>
      </c>
      <c r="B229" t="s">
        <v>28</v>
      </c>
      <c r="C229">
        <v>2023</v>
      </c>
      <c r="D229" t="s">
        <v>62</v>
      </c>
      <c r="E229">
        <v>37.840000000000003</v>
      </c>
      <c r="F229" t="s">
        <v>65</v>
      </c>
      <c r="G229">
        <v>136.11617005701791</v>
      </c>
      <c r="H229" t="str">
        <f>VLOOKUP(F229,Hoja1!$A$2:$B$8,2,0)</f>
        <v>Millones de dólares</v>
      </c>
      <c r="I229">
        <f t="shared" si="3"/>
        <v>27.799783070702876</v>
      </c>
    </row>
    <row r="230" spans="1:9" x14ac:dyDescent="0.25">
      <c r="A230" t="s">
        <v>29</v>
      </c>
      <c r="B230" t="s">
        <v>30</v>
      </c>
      <c r="C230">
        <v>2023</v>
      </c>
      <c r="D230" t="s">
        <v>62</v>
      </c>
      <c r="E230">
        <v>278.08</v>
      </c>
      <c r="F230" t="s">
        <v>65</v>
      </c>
      <c r="G230">
        <v>100.24856061097501</v>
      </c>
      <c r="H230" t="str">
        <f>VLOOKUP(F230,Hoja1!$A$2:$B$8,2,0)</f>
        <v>Millones de dólares</v>
      </c>
      <c r="I230">
        <f t="shared" si="3"/>
        <v>277.39051643755607</v>
      </c>
    </row>
    <row r="231" spans="1:9" x14ac:dyDescent="0.25">
      <c r="A231" t="s">
        <v>31</v>
      </c>
      <c r="B231" t="s">
        <v>32</v>
      </c>
      <c r="C231">
        <v>2023</v>
      </c>
      <c r="D231" t="s">
        <v>62</v>
      </c>
      <c r="E231">
        <v>268.73</v>
      </c>
      <c r="F231" t="s">
        <v>65</v>
      </c>
      <c r="G231">
        <v>99.157550875022267</v>
      </c>
      <c r="H231" t="str">
        <f>VLOOKUP(F231,Hoja1!$A$2:$B$8,2,0)</f>
        <v>Millones de dólares</v>
      </c>
      <c r="I231">
        <f t="shared" si="3"/>
        <v>271.0131478929992</v>
      </c>
    </row>
    <row r="232" spans="1:9" x14ac:dyDescent="0.25">
      <c r="A232" t="s">
        <v>33</v>
      </c>
      <c r="B232" t="s">
        <v>34</v>
      </c>
      <c r="C232">
        <v>2023</v>
      </c>
      <c r="D232" t="s">
        <v>62</v>
      </c>
      <c r="E232">
        <v>120.79</v>
      </c>
      <c r="F232" t="s">
        <v>65</v>
      </c>
      <c r="G232">
        <v>100.3225939694341</v>
      </c>
      <c r="H232" t="str">
        <f>VLOOKUP(F232,Hoja1!$A$2:$B$8,2,0)</f>
        <v>Millones de dólares</v>
      </c>
      <c r="I232">
        <f t="shared" si="3"/>
        <v>120.40159172598931</v>
      </c>
    </row>
    <row r="233" spans="1:9" x14ac:dyDescent="0.25">
      <c r="A233" t="s">
        <v>35</v>
      </c>
      <c r="B233" t="s">
        <v>36</v>
      </c>
      <c r="C233">
        <v>2023</v>
      </c>
      <c r="D233" t="s">
        <v>62</v>
      </c>
      <c r="E233">
        <v>271.64</v>
      </c>
      <c r="F233" t="s">
        <v>65</v>
      </c>
      <c r="G233">
        <v>127.00031785476931</v>
      </c>
      <c r="H233" t="str">
        <f>VLOOKUP(F233,Hoja1!$A$2:$B$8,2,0)</f>
        <v>Millones de dólares</v>
      </c>
      <c r="I233">
        <f t="shared" si="3"/>
        <v>213.88922845896562</v>
      </c>
    </row>
    <row r="234" spans="1:9" x14ac:dyDescent="0.25">
      <c r="A234" t="s">
        <v>37</v>
      </c>
      <c r="B234" t="s">
        <v>38</v>
      </c>
      <c r="C234">
        <v>2023</v>
      </c>
      <c r="D234" t="s">
        <v>62</v>
      </c>
      <c r="E234">
        <v>172.41</v>
      </c>
      <c r="F234" t="s">
        <v>65</v>
      </c>
      <c r="G234">
        <v>107.5767446910823</v>
      </c>
      <c r="H234" t="str">
        <f>VLOOKUP(F234,Hoja1!$A$2:$B$8,2,0)</f>
        <v>Millones de dólares</v>
      </c>
      <c r="I234">
        <f t="shared" si="3"/>
        <v>160.26698009415796</v>
      </c>
    </row>
    <row r="235" spans="1:9" x14ac:dyDescent="0.25">
      <c r="A235" t="s">
        <v>39</v>
      </c>
      <c r="B235" t="s">
        <v>40</v>
      </c>
      <c r="C235">
        <v>2023</v>
      </c>
      <c r="D235" t="s">
        <v>62</v>
      </c>
      <c r="E235">
        <v>138.80000000000001</v>
      </c>
      <c r="F235" t="s">
        <v>65</v>
      </c>
      <c r="G235">
        <v>117.7576015297401</v>
      </c>
      <c r="H235" t="str">
        <f>VLOOKUP(F235,Hoja1!$A$2:$B$8,2,0)</f>
        <v>Millones de dólares</v>
      </c>
      <c r="I235">
        <f t="shared" si="3"/>
        <v>117.86924852146005</v>
      </c>
    </row>
    <row r="236" spans="1:9" x14ac:dyDescent="0.25">
      <c r="A236" t="s">
        <v>41</v>
      </c>
      <c r="B236" t="s">
        <v>42</v>
      </c>
      <c r="C236">
        <v>2023</v>
      </c>
      <c r="D236" t="s">
        <v>62</v>
      </c>
      <c r="E236">
        <v>118.88</v>
      </c>
      <c r="F236" t="s">
        <v>65</v>
      </c>
      <c r="G236">
        <v>116.8817233821558</v>
      </c>
      <c r="H236" t="str">
        <f>VLOOKUP(F236,Hoja1!$A$2:$B$8,2,0)</f>
        <v>Millones de dólares</v>
      </c>
      <c r="I236">
        <f t="shared" si="3"/>
        <v>101.70965704476367</v>
      </c>
    </row>
    <row r="237" spans="1:9" x14ac:dyDescent="0.25">
      <c r="A237" t="s">
        <v>43</v>
      </c>
      <c r="B237" t="s">
        <v>44</v>
      </c>
      <c r="C237">
        <v>2023</v>
      </c>
      <c r="D237" t="s">
        <v>62</v>
      </c>
      <c r="E237">
        <v>57.03</v>
      </c>
      <c r="F237" t="s">
        <v>65</v>
      </c>
      <c r="G237">
        <v>193.20352629865999</v>
      </c>
      <c r="H237" t="str">
        <f>VLOOKUP(F237,Hoja1!$A$2:$B$8,2,0)</f>
        <v>Millones de dólares</v>
      </c>
      <c r="I237">
        <f t="shared" si="3"/>
        <v>29.518094774233706</v>
      </c>
    </row>
    <row r="238" spans="1:9" x14ac:dyDescent="0.25">
      <c r="A238" t="s">
        <v>45</v>
      </c>
      <c r="B238" t="s">
        <v>46</v>
      </c>
      <c r="C238">
        <v>2023</v>
      </c>
      <c r="D238" t="s">
        <v>62</v>
      </c>
      <c r="E238">
        <v>93.91</v>
      </c>
      <c r="F238" t="s">
        <v>65</v>
      </c>
      <c r="G238">
        <v>134.59808747086339</v>
      </c>
      <c r="H238" t="str">
        <f>VLOOKUP(F238,Hoja1!$A$2:$B$8,2,0)</f>
        <v>Millones de dólares</v>
      </c>
      <c r="I238">
        <f t="shared" si="3"/>
        <v>69.770679334748209</v>
      </c>
    </row>
    <row r="239" spans="1:9" x14ac:dyDescent="0.25">
      <c r="A239" t="s">
        <v>47</v>
      </c>
      <c r="B239" t="s">
        <v>48</v>
      </c>
      <c r="C239">
        <v>2023</v>
      </c>
      <c r="D239" t="s">
        <v>62</v>
      </c>
      <c r="E239">
        <v>34.090000000000003</v>
      </c>
      <c r="F239" t="s">
        <v>65</v>
      </c>
      <c r="G239">
        <v>102.9481438461891</v>
      </c>
      <c r="H239" t="str">
        <f>VLOOKUP(F239,Hoja1!$A$2:$B$8,2,0)</f>
        <v>Millones de dólares</v>
      </c>
      <c r="I239">
        <f t="shared" si="3"/>
        <v>33.113758758907373</v>
      </c>
    </row>
    <row r="240" spans="1:9" x14ac:dyDescent="0.25">
      <c r="A240" t="s">
        <v>49</v>
      </c>
      <c r="B240" t="s">
        <v>50</v>
      </c>
      <c r="C240">
        <v>2023</v>
      </c>
      <c r="D240" t="s">
        <v>62</v>
      </c>
      <c r="E240">
        <v>38.21</v>
      </c>
      <c r="F240" t="s">
        <v>65</v>
      </c>
      <c r="G240">
        <v>113.1</v>
      </c>
      <c r="H240" t="str">
        <f>VLOOKUP(F240,Hoja1!$A$2:$B$8,2,0)</f>
        <v>Millones de dólares</v>
      </c>
      <c r="I240">
        <f t="shared" si="3"/>
        <v>33.784261715296196</v>
      </c>
    </row>
    <row r="241" spans="1:9" x14ac:dyDescent="0.25">
      <c r="A241" t="s">
        <v>51</v>
      </c>
      <c r="B241" t="s">
        <v>52</v>
      </c>
      <c r="C241">
        <v>2023</v>
      </c>
      <c r="D241" t="s">
        <v>62</v>
      </c>
      <c r="E241">
        <v>44.31</v>
      </c>
      <c r="F241" t="s">
        <v>65</v>
      </c>
      <c r="G241">
        <v>110.1098857895461</v>
      </c>
      <c r="H241" t="str">
        <f>VLOOKUP(F241,Hoja1!$A$2:$B$8,2,0)</f>
        <v>Millones de dólares</v>
      </c>
      <c r="I241">
        <f t="shared" si="3"/>
        <v>40.241618345413656</v>
      </c>
    </row>
    <row r="242" spans="1:9" x14ac:dyDescent="0.25">
      <c r="A242" t="s">
        <v>53</v>
      </c>
      <c r="B242" t="s">
        <v>54</v>
      </c>
      <c r="C242">
        <v>2023</v>
      </c>
      <c r="D242" t="s">
        <v>62</v>
      </c>
      <c r="E242">
        <v>62.15</v>
      </c>
      <c r="F242" t="s">
        <v>65</v>
      </c>
      <c r="G242">
        <v>117.4474935307215</v>
      </c>
      <c r="H242" t="str">
        <f>VLOOKUP(F242,Hoja1!$A$2:$B$8,2,0)</f>
        <v>Millones de dólares</v>
      </c>
      <c r="I242">
        <f t="shared" si="3"/>
        <v>52.917263818612717</v>
      </c>
    </row>
    <row r="243" spans="1:9" x14ac:dyDescent="0.25">
      <c r="A243" t="s">
        <v>55</v>
      </c>
      <c r="B243" t="s">
        <v>56</v>
      </c>
      <c r="C243">
        <v>2023</v>
      </c>
      <c r="D243" t="s">
        <v>62</v>
      </c>
      <c r="E243">
        <v>3.88</v>
      </c>
      <c r="F243" t="s">
        <v>65</v>
      </c>
      <c r="G243">
        <v>109.95244477332351</v>
      </c>
      <c r="H243" t="str">
        <f>VLOOKUP(F243,Hoja1!$A$2:$B$8,2,0)</f>
        <v>Millones de dólares</v>
      </c>
      <c r="I243">
        <f t="shared" si="3"/>
        <v>3.5287982982087898</v>
      </c>
    </row>
    <row r="244" spans="1:9" x14ac:dyDescent="0.25">
      <c r="A244" t="s">
        <v>57</v>
      </c>
      <c r="B244" t="s">
        <v>58</v>
      </c>
      <c r="C244">
        <v>2023</v>
      </c>
      <c r="D244" t="s">
        <v>62</v>
      </c>
      <c r="E244">
        <v>90.33</v>
      </c>
      <c r="F244" t="s">
        <v>65</v>
      </c>
      <c r="G244">
        <v>113.1</v>
      </c>
      <c r="H244" t="str">
        <f>VLOOKUP(F244,Hoja1!$A$2:$B$8,2,0)</f>
        <v>Millones de dólares</v>
      </c>
      <c r="I244">
        <f t="shared" si="3"/>
        <v>79.867374005305052</v>
      </c>
    </row>
    <row r="245" spans="1:9" x14ac:dyDescent="0.25">
      <c r="A245" t="s">
        <v>7</v>
      </c>
      <c r="B245" t="s">
        <v>8</v>
      </c>
      <c r="C245">
        <v>2023</v>
      </c>
      <c r="D245" t="s">
        <v>9</v>
      </c>
      <c r="E245">
        <v>228089.19</v>
      </c>
      <c r="F245" t="s">
        <v>66</v>
      </c>
      <c r="H245" t="str">
        <f>VLOOKUP(F245,Hoja1!$A$2:$B$8,2,0)</f>
        <v>Millones de dólares</v>
      </c>
      <c r="I245" t="str">
        <f t="shared" si="3"/>
        <v/>
      </c>
    </row>
    <row r="246" spans="1:9" x14ac:dyDescent="0.25">
      <c r="A246" t="s">
        <v>11</v>
      </c>
      <c r="B246" t="s">
        <v>12</v>
      </c>
      <c r="C246">
        <v>2023</v>
      </c>
      <c r="D246" t="s">
        <v>9</v>
      </c>
      <c r="E246">
        <v>50582.77</v>
      </c>
      <c r="F246" t="s">
        <v>66</v>
      </c>
      <c r="H246" t="str">
        <f>VLOOKUP(F246,Hoja1!$A$2:$B$8,2,0)</f>
        <v>Millones de dólares</v>
      </c>
      <c r="I246" t="str">
        <f t="shared" si="3"/>
        <v/>
      </c>
    </row>
    <row r="247" spans="1:9" x14ac:dyDescent="0.25">
      <c r="A247" t="s">
        <v>13</v>
      </c>
      <c r="B247" t="s">
        <v>14</v>
      </c>
      <c r="C247">
        <v>2023</v>
      </c>
      <c r="D247" t="s">
        <v>9</v>
      </c>
      <c r="E247">
        <v>9662.86</v>
      </c>
      <c r="F247" t="s">
        <v>66</v>
      </c>
      <c r="H247" t="str">
        <f>VLOOKUP(F247,Hoja1!$A$2:$B$8,2,0)</f>
        <v>Millones de dólares</v>
      </c>
      <c r="I247" t="str">
        <f t="shared" si="3"/>
        <v/>
      </c>
    </row>
    <row r="248" spans="1:9" x14ac:dyDescent="0.25">
      <c r="A248" t="s">
        <v>15</v>
      </c>
      <c r="B248" t="s">
        <v>16</v>
      </c>
      <c r="C248">
        <v>2023</v>
      </c>
      <c r="D248" t="s">
        <v>9</v>
      </c>
      <c r="E248">
        <v>1196.9000000000001</v>
      </c>
      <c r="F248" t="s">
        <v>66</v>
      </c>
      <c r="H248" t="str">
        <f>VLOOKUP(F248,Hoja1!$A$2:$B$8,2,0)</f>
        <v>Millones de dólares</v>
      </c>
      <c r="I248" t="str">
        <f t="shared" si="3"/>
        <v/>
      </c>
    </row>
    <row r="249" spans="1:9" x14ac:dyDescent="0.25">
      <c r="A249" t="s">
        <v>17</v>
      </c>
      <c r="B249" t="s">
        <v>18</v>
      </c>
      <c r="C249">
        <v>2023</v>
      </c>
      <c r="D249" t="s">
        <v>9</v>
      </c>
      <c r="E249">
        <v>3819.13</v>
      </c>
      <c r="F249" t="s">
        <v>66</v>
      </c>
      <c r="H249" t="str">
        <f>VLOOKUP(F249,Hoja1!$A$2:$B$8,2,0)</f>
        <v>Millones de dólares</v>
      </c>
      <c r="I249" t="str">
        <f t="shared" si="3"/>
        <v/>
      </c>
    </row>
    <row r="250" spans="1:9" x14ac:dyDescent="0.25">
      <c r="A250" t="s">
        <v>19</v>
      </c>
      <c r="B250" t="s">
        <v>20</v>
      </c>
      <c r="C250">
        <v>2023</v>
      </c>
      <c r="D250" t="s">
        <v>9</v>
      </c>
      <c r="E250">
        <v>4160.37</v>
      </c>
      <c r="F250" t="s">
        <v>66</v>
      </c>
      <c r="H250" t="str">
        <f>VLOOKUP(F250,Hoja1!$A$2:$B$8,2,0)</f>
        <v>Millones de dólares</v>
      </c>
      <c r="I250" t="str">
        <f t="shared" si="3"/>
        <v/>
      </c>
    </row>
    <row r="251" spans="1:9" x14ac:dyDescent="0.25">
      <c r="A251" t="s">
        <v>21</v>
      </c>
      <c r="B251" t="s">
        <v>22</v>
      </c>
      <c r="C251">
        <v>2023</v>
      </c>
      <c r="D251" t="s">
        <v>9</v>
      </c>
      <c r="E251">
        <v>3545.42</v>
      </c>
      <c r="F251" t="s">
        <v>66</v>
      </c>
      <c r="H251" t="str">
        <f>VLOOKUP(F251,Hoja1!$A$2:$B$8,2,0)</f>
        <v>Millones de dólares</v>
      </c>
      <c r="I251" t="str">
        <f t="shared" si="3"/>
        <v/>
      </c>
    </row>
    <row r="252" spans="1:9" x14ac:dyDescent="0.25">
      <c r="A252" t="s">
        <v>23</v>
      </c>
      <c r="B252" t="s">
        <v>24</v>
      </c>
      <c r="C252">
        <v>2023</v>
      </c>
      <c r="D252" t="s">
        <v>9</v>
      </c>
      <c r="E252">
        <v>2496.58</v>
      </c>
      <c r="F252" t="s">
        <v>66</v>
      </c>
      <c r="H252" t="str">
        <f>VLOOKUP(F252,Hoja1!$A$2:$B$8,2,0)</f>
        <v>Millones de dólares</v>
      </c>
      <c r="I252" t="str">
        <f t="shared" si="3"/>
        <v/>
      </c>
    </row>
    <row r="253" spans="1:9" x14ac:dyDescent="0.25">
      <c r="A253" t="s">
        <v>25</v>
      </c>
      <c r="B253" t="s">
        <v>26</v>
      </c>
      <c r="C253">
        <v>2023</v>
      </c>
      <c r="D253" t="s">
        <v>9</v>
      </c>
      <c r="E253">
        <v>11325.76</v>
      </c>
      <c r="F253" t="s">
        <v>66</v>
      </c>
      <c r="H253" t="str">
        <f>VLOOKUP(F253,Hoja1!$A$2:$B$8,2,0)</f>
        <v>Millones de dólares</v>
      </c>
      <c r="I253" t="str">
        <f t="shared" si="3"/>
        <v/>
      </c>
    </row>
    <row r="254" spans="1:9" x14ac:dyDescent="0.25">
      <c r="A254" t="s">
        <v>27</v>
      </c>
      <c r="B254" t="s">
        <v>28</v>
      </c>
      <c r="C254">
        <v>2023</v>
      </c>
      <c r="D254" t="s">
        <v>9</v>
      </c>
      <c r="E254">
        <v>1086.97</v>
      </c>
      <c r="F254" t="s">
        <v>66</v>
      </c>
      <c r="H254" t="str">
        <f>VLOOKUP(F254,Hoja1!$A$2:$B$8,2,0)</f>
        <v>Millones de dólares</v>
      </c>
      <c r="I254" t="str">
        <f t="shared" si="3"/>
        <v/>
      </c>
    </row>
    <row r="255" spans="1:9" x14ac:dyDescent="0.25">
      <c r="A255" t="s">
        <v>29</v>
      </c>
      <c r="B255" t="s">
        <v>30</v>
      </c>
      <c r="C255">
        <v>2023</v>
      </c>
      <c r="D255" t="s">
        <v>9</v>
      </c>
      <c r="E255">
        <v>41826.339999999997</v>
      </c>
      <c r="F255" t="s">
        <v>66</v>
      </c>
      <c r="H255" t="str">
        <f>VLOOKUP(F255,Hoja1!$A$2:$B$8,2,0)</f>
        <v>Millones de dólares</v>
      </c>
      <c r="I255" t="str">
        <f t="shared" si="3"/>
        <v/>
      </c>
    </row>
    <row r="256" spans="1:9" x14ac:dyDescent="0.25">
      <c r="A256" t="s">
        <v>31</v>
      </c>
      <c r="B256" t="s">
        <v>32</v>
      </c>
      <c r="C256">
        <v>2023</v>
      </c>
      <c r="D256" t="s">
        <v>9</v>
      </c>
      <c r="E256">
        <v>4298.67</v>
      </c>
      <c r="F256" t="s">
        <v>66</v>
      </c>
      <c r="H256" t="str">
        <f>VLOOKUP(F256,Hoja1!$A$2:$B$8,2,0)</f>
        <v>Millones de dólares</v>
      </c>
      <c r="I256" t="str">
        <f t="shared" si="3"/>
        <v/>
      </c>
    </row>
    <row r="257" spans="1:9" x14ac:dyDescent="0.25">
      <c r="A257" t="s">
        <v>33</v>
      </c>
      <c r="B257" t="s">
        <v>34</v>
      </c>
      <c r="C257">
        <v>2023</v>
      </c>
      <c r="D257" t="s">
        <v>9</v>
      </c>
      <c r="E257">
        <v>8124.78</v>
      </c>
      <c r="F257" t="s">
        <v>66</v>
      </c>
      <c r="H257" t="str">
        <f>VLOOKUP(F257,Hoja1!$A$2:$B$8,2,0)</f>
        <v>Millones de dólares</v>
      </c>
      <c r="I257" t="str">
        <f t="shared" si="3"/>
        <v/>
      </c>
    </row>
    <row r="258" spans="1:9" x14ac:dyDescent="0.25">
      <c r="A258" t="s">
        <v>35</v>
      </c>
      <c r="B258" t="s">
        <v>36</v>
      </c>
      <c r="C258">
        <v>2023</v>
      </c>
      <c r="D258" t="s">
        <v>9</v>
      </c>
      <c r="E258">
        <v>9683.44</v>
      </c>
      <c r="F258" t="s">
        <v>66</v>
      </c>
      <c r="H258" t="str">
        <f>VLOOKUP(F258,Hoja1!$A$2:$B$8,2,0)</f>
        <v>Millones de dólares</v>
      </c>
      <c r="I258" t="str">
        <f t="shared" si="3"/>
        <v/>
      </c>
    </row>
    <row r="259" spans="1:9" x14ac:dyDescent="0.25">
      <c r="A259" t="s">
        <v>37</v>
      </c>
      <c r="B259" t="s">
        <v>38</v>
      </c>
      <c r="C259">
        <v>2023</v>
      </c>
      <c r="D259" t="s">
        <v>9</v>
      </c>
      <c r="E259">
        <v>9270.7199999999993</v>
      </c>
      <c r="F259" t="s">
        <v>66</v>
      </c>
      <c r="H259" t="str">
        <f>VLOOKUP(F259,Hoja1!$A$2:$B$8,2,0)</f>
        <v>Millones de dólares</v>
      </c>
      <c r="I259" t="str">
        <f t="shared" ref="I259:I322" si="4">IFERROR(IF(H259="Millones de dólares",E259/G259*100,E259),"")</f>
        <v/>
      </c>
    </row>
    <row r="260" spans="1:9" x14ac:dyDescent="0.25">
      <c r="A260" t="s">
        <v>39</v>
      </c>
      <c r="B260" t="s">
        <v>40</v>
      </c>
      <c r="C260">
        <v>2023</v>
      </c>
      <c r="D260" t="s">
        <v>9</v>
      </c>
      <c r="E260">
        <v>14642.56</v>
      </c>
      <c r="F260" t="s">
        <v>66</v>
      </c>
      <c r="H260" t="str">
        <f>VLOOKUP(F260,Hoja1!$A$2:$B$8,2,0)</f>
        <v>Millones de dólares</v>
      </c>
      <c r="I260" t="str">
        <f t="shared" si="4"/>
        <v/>
      </c>
    </row>
    <row r="261" spans="1:9" x14ac:dyDescent="0.25">
      <c r="A261" t="s">
        <v>41</v>
      </c>
      <c r="B261" t="s">
        <v>42</v>
      </c>
      <c r="C261">
        <v>2023</v>
      </c>
      <c r="D261" t="s">
        <v>9</v>
      </c>
      <c r="E261">
        <v>8112.9</v>
      </c>
      <c r="F261" t="s">
        <v>66</v>
      </c>
      <c r="H261" t="str">
        <f>VLOOKUP(F261,Hoja1!$A$2:$B$8,2,0)</f>
        <v>Millones de dólares</v>
      </c>
      <c r="I261" t="str">
        <f t="shared" si="4"/>
        <v/>
      </c>
    </row>
    <row r="262" spans="1:9" x14ac:dyDescent="0.25">
      <c r="A262" t="s">
        <v>43</v>
      </c>
      <c r="B262" t="s">
        <v>44</v>
      </c>
      <c r="C262">
        <v>2023</v>
      </c>
      <c r="D262" t="s">
        <v>9</v>
      </c>
      <c r="E262">
        <v>-14510.87</v>
      </c>
      <c r="F262" t="s">
        <v>66</v>
      </c>
      <c r="H262" t="str">
        <f>VLOOKUP(F262,Hoja1!$A$2:$B$8,2,0)</f>
        <v>Millones de dólares</v>
      </c>
      <c r="I262" t="str">
        <f t="shared" si="4"/>
        <v/>
      </c>
    </row>
    <row r="263" spans="1:9" x14ac:dyDescent="0.25">
      <c r="A263" t="s">
        <v>45</v>
      </c>
      <c r="B263" t="s">
        <v>46</v>
      </c>
      <c r="C263">
        <v>2023</v>
      </c>
      <c r="D263" t="s">
        <v>9</v>
      </c>
      <c r="E263">
        <v>7788.14</v>
      </c>
      <c r="F263" t="s">
        <v>66</v>
      </c>
      <c r="H263" t="str">
        <f>VLOOKUP(F263,Hoja1!$A$2:$B$8,2,0)</f>
        <v>Millones de dólares</v>
      </c>
      <c r="I263" t="str">
        <f t="shared" si="4"/>
        <v/>
      </c>
    </row>
    <row r="264" spans="1:9" x14ac:dyDescent="0.25">
      <c r="A264" t="s">
        <v>47</v>
      </c>
      <c r="B264" t="s">
        <v>48</v>
      </c>
      <c r="C264">
        <v>2023</v>
      </c>
      <c r="D264" t="s">
        <v>9</v>
      </c>
      <c r="E264">
        <v>16175.63</v>
      </c>
      <c r="F264" t="s">
        <v>66</v>
      </c>
      <c r="H264" t="str">
        <f>VLOOKUP(F264,Hoja1!$A$2:$B$8,2,0)</f>
        <v>Millones de dólares</v>
      </c>
      <c r="I264" t="str">
        <f t="shared" si="4"/>
        <v/>
      </c>
    </row>
    <row r="265" spans="1:9" x14ac:dyDescent="0.25">
      <c r="A265" t="s">
        <v>49</v>
      </c>
      <c r="B265" t="s">
        <v>50</v>
      </c>
      <c r="C265">
        <v>2023</v>
      </c>
      <c r="D265" t="s">
        <v>9</v>
      </c>
      <c r="E265">
        <v>20967.7</v>
      </c>
      <c r="F265" t="s">
        <v>66</v>
      </c>
      <c r="H265" t="str">
        <f>VLOOKUP(F265,Hoja1!$A$2:$B$8,2,0)</f>
        <v>Millones de dólares</v>
      </c>
      <c r="I265" t="str">
        <f t="shared" si="4"/>
        <v/>
      </c>
    </row>
    <row r="266" spans="1:9" x14ac:dyDescent="0.25">
      <c r="A266" t="s">
        <v>51</v>
      </c>
      <c r="B266" t="s">
        <v>52</v>
      </c>
      <c r="C266">
        <v>2023</v>
      </c>
      <c r="D266" t="s">
        <v>9</v>
      </c>
      <c r="E266">
        <v>4343.8100000000004</v>
      </c>
      <c r="F266" t="s">
        <v>66</v>
      </c>
      <c r="H266" t="str">
        <f>VLOOKUP(F266,Hoja1!$A$2:$B$8,2,0)</f>
        <v>Millones de dólares</v>
      </c>
      <c r="I266" t="str">
        <f t="shared" si="4"/>
        <v/>
      </c>
    </row>
    <row r="267" spans="1:9" x14ac:dyDescent="0.25">
      <c r="A267" t="s">
        <v>53</v>
      </c>
      <c r="B267" t="s">
        <v>54</v>
      </c>
      <c r="C267">
        <v>2023</v>
      </c>
      <c r="D267" t="s">
        <v>9</v>
      </c>
      <c r="E267">
        <v>2522.84</v>
      </c>
      <c r="F267" t="s">
        <v>66</v>
      </c>
      <c r="H267" t="str">
        <f>VLOOKUP(F267,Hoja1!$A$2:$B$8,2,0)</f>
        <v>Millones de dólares</v>
      </c>
      <c r="I267" t="str">
        <f t="shared" si="4"/>
        <v/>
      </c>
    </row>
    <row r="268" spans="1:9" x14ac:dyDescent="0.25">
      <c r="A268" t="s">
        <v>55</v>
      </c>
      <c r="B268" t="s">
        <v>56</v>
      </c>
      <c r="C268">
        <v>2023</v>
      </c>
      <c r="D268" t="s">
        <v>9</v>
      </c>
      <c r="E268">
        <v>3010.41</v>
      </c>
      <c r="F268" t="s">
        <v>66</v>
      </c>
      <c r="H268" t="str">
        <f>VLOOKUP(F268,Hoja1!$A$2:$B$8,2,0)</f>
        <v>Millones de dólares</v>
      </c>
      <c r="I268" t="str">
        <f t="shared" si="4"/>
        <v/>
      </c>
    </row>
    <row r="269" spans="1:9" x14ac:dyDescent="0.25">
      <c r="A269" t="s">
        <v>57</v>
      </c>
      <c r="B269" t="s">
        <v>58</v>
      </c>
      <c r="C269">
        <v>2023</v>
      </c>
      <c r="D269" t="s">
        <v>9</v>
      </c>
      <c r="E269">
        <v>3955.36</v>
      </c>
      <c r="F269" t="s">
        <v>66</v>
      </c>
      <c r="H269" t="str">
        <f>VLOOKUP(F269,Hoja1!$A$2:$B$8,2,0)</f>
        <v>Millones de dólares</v>
      </c>
      <c r="I269" t="str">
        <f t="shared" si="4"/>
        <v/>
      </c>
    </row>
    <row r="270" spans="1:9" x14ac:dyDescent="0.25">
      <c r="A270" t="s">
        <v>7</v>
      </c>
      <c r="B270" t="s">
        <v>8</v>
      </c>
      <c r="C270">
        <v>2023</v>
      </c>
      <c r="D270" t="s">
        <v>59</v>
      </c>
      <c r="E270">
        <v>20194.13</v>
      </c>
      <c r="F270" t="s">
        <v>66</v>
      </c>
      <c r="G270">
        <v>142.91079324044</v>
      </c>
      <c r="H270" t="str">
        <f>VLOOKUP(F270,Hoja1!$A$2:$B$8,2,0)</f>
        <v>Millones de dólares</v>
      </c>
      <c r="I270">
        <f t="shared" si="4"/>
        <v>14130.584221182247</v>
      </c>
    </row>
    <row r="271" spans="1:9" x14ac:dyDescent="0.25">
      <c r="A271" t="s">
        <v>11</v>
      </c>
      <c r="B271" t="s">
        <v>12</v>
      </c>
      <c r="C271">
        <v>2023</v>
      </c>
      <c r="D271" t="s">
        <v>59</v>
      </c>
      <c r="E271">
        <v>7485.59</v>
      </c>
      <c r="F271" t="s">
        <v>66</v>
      </c>
      <c r="G271">
        <v>150.08579535058001</v>
      </c>
      <c r="H271" t="str">
        <f>VLOOKUP(F271,Hoja1!$A$2:$B$8,2,0)</f>
        <v>Millones de dólares</v>
      </c>
      <c r="I271">
        <f t="shared" si="4"/>
        <v>4987.5406146962005</v>
      </c>
    </row>
    <row r="272" spans="1:9" x14ac:dyDescent="0.25">
      <c r="A272" t="s">
        <v>13</v>
      </c>
      <c r="B272" t="s">
        <v>14</v>
      </c>
      <c r="C272">
        <v>2023</v>
      </c>
      <c r="D272" t="s">
        <v>59</v>
      </c>
      <c r="E272">
        <v>1677.23</v>
      </c>
      <c r="F272" t="s">
        <v>66</v>
      </c>
      <c r="G272">
        <v>129.0410448209</v>
      </c>
      <c r="H272" t="str">
        <f>VLOOKUP(F272,Hoja1!$A$2:$B$8,2,0)</f>
        <v>Millones de dólares</v>
      </c>
      <c r="I272">
        <f t="shared" si="4"/>
        <v>1299.7647394500555</v>
      </c>
    </row>
    <row r="273" spans="1:9" x14ac:dyDescent="0.25">
      <c r="A273" t="s">
        <v>17</v>
      </c>
      <c r="B273" t="s">
        <v>18</v>
      </c>
      <c r="C273">
        <v>2023</v>
      </c>
      <c r="D273" t="s">
        <v>59</v>
      </c>
      <c r="E273">
        <v>75.91</v>
      </c>
      <c r="F273" t="s">
        <v>66</v>
      </c>
      <c r="G273">
        <v>69.851283274747999</v>
      </c>
      <c r="H273" t="str">
        <f>VLOOKUP(F273,Hoja1!$A$2:$B$8,2,0)</f>
        <v>Millones de dólares</v>
      </c>
      <c r="I273">
        <f t="shared" si="4"/>
        <v>108.67373717590996</v>
      </c>
    </row>
    <row r="274" spans="1:9" x14ac:dyDescent="0.25">
      <c r="A274" t="s">
        <v>19</v>
      </c>
      <c r="B274" t="s">
        <v>20</v>
      </c>
      <c r="C274">
        <v>2023</v>
      </c>
      <c r="D274" t="s">
        <v>59</v>
      </c>
      <c r="E274">
        <v>47.93</v>
      </c>
      <c r="F274" t="s">
        <v>66</v>
      </c>
      <c r="G274">
        <v>69.851283274747999</v>
      </c>
      <c r="H274" t="str">
        <f>VLOOKUP(F274,Hoja1!$A$2:$B$8,2,0)</f>
        <v>Millones de dólares</v>
      </c>
      <c r="I274">
        <f t="shared" si="4"/>
        <v>68.617207519975821</v>
      </c>
    </row>
    <row r="275" spans="1:9" x14ac:dyDescent="0.25">
      <c r="A275" t="s">
        <v>21</v>
      </c>
      <c r="B275" t="s">
        <v>22</v>
      </c>
      <c r="C275">
        <v>2023</v>
      </c>
      <c r="D275" t="s">
        <v>59</v>
      </c>
      <c r="E275">
        <v>26.75</v>
      </c>
      <c r="F275" t="s">
        <v>66</v>
      </c>
      <c r="G275">
        <v>69.851283274747999</v>
      </c>
      <c r="H275" t="str">
        <f>VLOOKUP(F275,Hoja1!$A$2:$B$8,2,0)</f>
        <v>Millones de dólares</v>
      </c>
      <c r="I275">
        <f t="shared" si="4"/>
        <v>38.295645757549622</v>
      </c>
    </row>
    <row r="276" spans="1:9" x14ac:dyDescent="0.25">
      <c r="A276" t="s">
        <v>23</v>
      </c>
      <c r="B276" t="s">
        <v>24</v>
      </c>
      <c r="C276">
        <v>2023</v>
      </c>
      <c r="D276" t="s">
        <v>59</v>
      </c>
      <c r="E276">
        <v>983.18</v>
      </c>
      <c r="F276" t="s">
        <v>66</v>
      </c>
      <c r="G276">
        <v>130.15281667511999</v>
      </c>
      <c r="H276" t="str">
        <f>VLOOKUP(F276,Hoja1!$A$2:$B$8,2,0)</f>
        <v>Millones de dólares</v>
      </c>
      <c r="I276">
        <f t="shared" si="4"/>
        <v>755.40432018014451</v>
      </c>
    </row>
    <row r="277" spans="1:9" x14ac:dyDescent="0.25">
      <c r="A277" t="s">
        <v>25</v>
      </c>
      <c r="B277" t="s">
        <v>26</v>
      </c>
      <c r="C277">
        <v>2023</v>
      </c>
      <c r="D277" t="s">
        <v>59</v>
      </c>
      <c r="E277">
        <v>917.22</v>
      </c>
      <c r="F277" t="s">
        <v>66</v>
      </c>
      <c r="G277">
        <v>89.311059064592001</v>
      </c>
      <c r="H277" t="str">
        <f>VLOOKUP(F277,Hoja1!$A$2:$B$8,2,0)</f>
        <v>Millones de dólares</v>
      </c>
      <c r="I277">
        <f t="shared" si="4"/>
        <v>1026.9948756700371</v>
      </c>
    </row>
    <row r="278" spans="1:9" x14ac:dyDescent="0.25">
      <c r="A278" t="s">
        <v>27</v>
      </c>
      <c r="B278" t="s">
        <v>28</v>
      </c>
      <c r="C278">
        <v>2023</v>
      </c>
      <c r="D278" t="s">
        <v>59</v>
      </c>
      <c r="E278">
        <v>73.72</v>
      </c>
      <c r="F278" t="s">
        <v>66</v>
      </c>
      <c r="G278">
        <v>89.311059064592001</v>
      </c>
      <c r="H278" t="str">
        <f>VLOOKUP(F278,Hoja1!$A$2:$B$8,2,0)</f>
        <v>Millones de dólares</v>
      </c>
      <c r="I278">
        <f t="shared" si="4"/>
        <v>82.542969227006751</v>
      </c>
    </row>
    <row r="279" spans="1:9" x14ac:dyDescent="0.25">
      <c r="A279" t="s">
        <v>31</v>
      </c>
      <c r="B279" t="s">
        <v>32</v>
      </c>
      <c r="C279">
        <v>2023</v>
      </c>
      <c r="D279" t="s">
        <v>59</v>
      </c>
      <c r="E279">
        <v>3005.62</v>
      </c>
      <c r="F279" t="s">
        <v>66</v>
      </c>
      <c r="G279">
        <v>179.38969123864001</v>
      </c>
      <c r="H279" t="str">
        <f>VLOOKUP(F279,Hoja1!$A$2:$B$8,2,0)</f>
        <v>Millones de dólares</v>
      </c>
      <c r="I279">
        <f t="shared" si="4"/>
        <v>1675.4697436887043</v>
      </c>
    </row>
    <row r="280" spans="1:9" x14ac:dyDescent="0.25">
      <c r="A280" t="s">
        <v>33</v>
      </c>
      <c r="B280" t="s">
        <v>34</v>
      </c>
      <c r="C280">
        <v>2023</v>
      </c>
      <c r="D280" t="s">
        <v>59</v>
      </c>
      <c r="E280">
        <v>594.21</v>
      </c>
      <c r="F280" t="s">
        <v>66</v>
      </c>
      <c r="G280">
        <v>179.38969123864001</v>
      </c>
      <c r="H280" t="str">
        <f>VLOOKUP(F280,Hoja1!$A$2:$B$8,2,0)</f>
        <v>Millones de dólares</v>
      </c>
      <c r="I280">
        <f t="shared" si="4"/>
        <v>331.23976963064695</v>
      </c>
    </row>
    <row r="281" spans="1:9" x14ac:dyDescent="0.25">
      <c r="A281" t="s">
        <v>35</v>
      </c>
      <c r="B281" t="s">
        <v>36</v>
      </c>
      <c r="C281">
        <v>2023</v>
      </c>
      <c r="D281" t="s">
        <v>59</v>
      </c>
      <c r="E281">
        <v>620.70000000000005</v>
      </c>
      <c r="F281" t="s">
        <v>66</v>
      </c>
      <c r="G281">
        <v>179.38969123864001</v>
      </c>
      <c r="H281" t="str">
        <f>VLOOKUP(F281,Hoja1!$A$2:$B$8,2,0)</f>
        <v>Millones de dólares</v>
      </c>
      <c r="I281">
        <f t="shared" si="4"/>
        <v>346.00650445085506</v>
      </c>
    </row>
    <row r="282" spans="1:9" x14ac:dyDescent="0.25">
      <c r="A282" t="s">
        <v>37</v>
      </c>
      <c r="B282" t="s">
        <v>38</v>
      </c>
      <c r="C282">
        <v>2023</v>
      </c>
      <c r="D282" t="s">
        <v>59</v>
      </c>
      <c r="E282">
        <v>788.49</v>
      </c>
      <c r="F282" t="s">
        <v>66</v>
      </c>
      <c r="G282">
        <v>137.65188865636</v>
      </c>
      <c r="H282" t="str">
        <f>VLOOKUP(F282,Hoja1!$A$2:$B$8,2,0)</f>
        <v>Millones de dólares</v>
      </c>
      <c r="I282">
        <f t="shared" si="4"/>
        <v>572.81451616578966</v>
      </c>
    </row>
    <row r="283" spans="1:9" x14ac:dyDescent="0.25">
      <c r="A283" t="s">
        <v>39</v>
      </c>
      <c r="B283" t="s">
        <v>40</v>
      </c>
      <c r="C283">
        <v>2023</v>
      </c>
      <c r="D283" t="s">
        <v>59</v>
      </c>
      <c r="E283">
        <v>9.57</v>
      </c>
      <c r="F283" t="s">
        <v>66</v>
      </c>
      <c r="G283">
        <v>140.40843314838</v>
      </c>
      <c r="H283" t="str">
        <f>VLOOKUP(F283,Hoja1!$A$2:$B$8,2,0)</f>
        <v>Millones de dólares</v>
      </c>
      <c r="I283">
        <f t="shared" si="4"/>
        <v>6.815829922328577</v>
      </c>
    </row>
    <row r="284" spans="1:9" x14ac:dyDescent="0.25">
      <c r="A284" t="s">
        <v>41</v>
      </c>
      <c r="B284" t="s">
        <v>42</v>
      </c>
      <c r="C284">
        <v>2023</v>
      </c>
      <c r="D284" t="s">
        <v>59</v>
      </c>
      <c r="E284">
        <v>733.8</v>
      </c>
      <c r="F284" t="s">
        <v>66</v>
      </c>
      <c r="G284">
        <v>140.40843314838</v>
      </c>
      <c r="H284" t="str">
        <f>VLOOKUP(F284,Hoja1!$A$2:$B$8,2,0)</f>
        <v>Millones de dólares</v>
      </c>
      <c r="I284">
        <f t="shared" si="4"/>
        <v>522.61818150519423</v>
      </c>
    </row>
    <row r="285" spans="1:9" x14ac:dyDescent="0.25">
      <c r="A285" t="s">
        <v>43</v>
      </c>
      <c r="B285" t="s">
        <v>44</v>
      </c>
      <c r="C285">
        <v>2023</v>
      </c>
      <c r="D285" t="s">
        <v>59</v>
      </c>
      <c r="E285">
        <v>9.01</v>
      </c>
      <c r="F285" t="s">
        <v>66</v>
      </c>
      <c r="G285">
        <v>140.40843314838</v>
      </c>
      <c r="H285" t="str">
        <f>VLOOKUP(F285,Hoja1!$A$2:$B$8,2,0)</f>
        <v>Millones de dólares</v>
      </c>
      <c r="I285">
        <f t="shared" si="4"/>
        <v>6.4169934796426826</v>
      </c>
    </row>
    <row r="286" spans="1:9" x14ac:dyDescent="0.25">
      <c r="A286" t="s">
        <v>45</v>
      </c>
      <c r="B286" t="s">
        <v>46</v>
      </c>
      <c r="C286">
        <v>2023</v>
      </c>
      <c r="D286" t="s">
        <v>59</v>
      </c>
      <c r="E286">
        <v>230.05</v>
      </c>
      <c r="F286" t="s">
        <v>66</v>
      </c>
      <c r="G286">
        <v>140.40843314838</v>
      </c>
      <c r="H286" t="str">
        <f>VLOOKUP(F286,Hoja1!$A$2:$B$8,2,0)</f>
        <v>Millones de dólares</v>
      </c>
      <c r="I286">
        <f t="shared" si="4"/>
        <v>163.84343507123188</v>
      </c>
    </row>
    <row r="287" spans="1:9" x14ac:dyDescent="0.25">
      <c r="A287" t="s">
        <v>47</v>
      </c>
      <c r="B287" t="s">
        <v>48</v>
      </c>
      <c r="C287">
        <v>2023</v>
      </c>
      <c r="D287" t="s">
        <v>59</v>
      </c>
      <c r="E287">
        <v>423.84</v>
      </c>
      <c r="F287" t="s">
        <v>66</v>
      </c>
      <c r="G287">
        <v>140.40843314838</v>
      </c>
      <c r="H287" t="str">
        <f>VLOOKUP(F287,Hoja1!$A$2:$B$8,2,0)</f>
        <v>Millones de dólares</v>
      </c>
      <c r="I287">
        <f t="shared" si="4"/>
        <v>301.86221047855213</v>
      </c>
    </row>
    <row r="288" spans="1:9" x14ac:dyDescent="0.25">
      <c r="A288" t="s">
        <v>49</v>
      </c>
      <c r="B288" t="s">
        <v>50</v>
      </c>
      <c r="C288">
        <v>2023</v>
      </c>
      <c r="D288" t="s">
        <v>59</v>
      </c>
      <c r="E288">
        <v>48.66</v>
      </c>
      <c r="F288" t="s">
        <v>66</v>
      </c>
      <c r="G288">
        <v>142.91079324044</v>
      </c>
      <c r="H288" t="str">
        <f>VLOOKUP(F288,Hoja1!$A$2:$B$8,2,0)</f>
        <v>Millones de dólares</v>
      </c>
      <c r="I288">
        <f t="shared" si="4"/>
        <v>34.049212726803688</v>
      </c>
    </row>
    <row r="289" spans="1:9" x14ac:dyDescent="0.25">
      <c r="A289" t="s">
        <v>51</v>
      </c>
      <c r="B289" t="s">
        <v>52</v>
      </c>
      <c r="C289">
        <v>2023</v>
      </c>
      <c r="D289" t="s">
        <v>59</v>
      </c>
      <c r="E289">
        <v>9.5500000000000007</v>
      </c>
      <c r="F289" t="s">
        <v>66</v>
      </c>
      <c r="G289">
        <v>140.40843314838</v>
      </c>
      <c r="H289" t="str">
        <f>VLOOKUP(F289,Hoja1!$A$2:$B$8,2,0)</f>
        <v>Millones de dólares</v>
      </c>
      <c r="I289">
        <f t="shared" si="4"/>
        <v>6.8015857636612234</v>
      </c>
    </row>
    <row r="290" spans="1:9" x14ac:dyDescent="0.25">
      <c r="A290" t="s">
        <v>53</v>
      </c>
      <c r="B290" t="s">
        <v>54</v>
      </c>
      <c r="C290">
        <v>2023</v>
      </c>
      <c r="D290" t="s">
        <v>59</v>
      </c>
      <c r="E290">
        <v>180.59</v>
      </c>
      <c r="F290" t="s">
        <v>66</v>
      </c>
      <c r="G290">
        <v>130.15281667511999</v>
      </c>
      <c r="H290" t="str">
        <f>VLOOKUP(F290,Hoja1!$A$2:$B$8,2,0)</f>
        <v>Millones de dólares</v>
      </c>
      <c r="I290">
        <f t="shared" si="4"/>
        <v>138.7522795229076</v>
      </c>
    </row>
    <row r="291" spans="1:9" x14ac:dyDescent="0.25">
      <c r="A291" t="s">
        <v>55</v>
      </c>
      <c r="B291" t="s">
        <v>56</v>
      </c>
      <c r="C291">
        <v>2023</v>
      </c>
      <c r="D291" t="s">
        <v>59</v>
      </c>
      <c r="E291">
        <v>79.69</v>
      </c>
      <c r="F291" t="s">
        <v>66</v>
      </c>
      <c r="G291">
        <v>142.91079324044</v>
      </c>
      <c r="H291" t="str">
        <f>VLOOKUP(F291,Hoja1!$A$2:$B$8,2,0)</f>
        <v>Millones de dólares</v>
      </c>
      <c r="I291">
        <f t="shared" si="4"/>
        <v>55.762058409350303</v>
      </c>
    </row>
    <row r="292" spans="1:9" x14ac:dyDescent="0.25">
      <c r="A292" t="s">
        <v>57</v>
      </c>
      <c r="B292" t="s">
        <v>58</v>
      </c>
      <c r="C292">
        <v>2023</v>
      </c>
      <c r="D292" t="s">
        <v>59</v>
      </c>
      <c r="E292">
        <v>873.2</v>
      </c>
      <c r="F292" t="s">
        <v>66</v>
      </c>
      <c r="G292">
        <v>142.91079324044</v>
      </c>
      <c r="H292" t="str">
        <f>VLOOKUP(F292,Hoja1!$A$2:$B$8,2,0)</f>
        <v>Millones de dólares</v>
      </c>
      <c r="I292">
        <f t="shared" si="4"/>
        <v>611.01053335480856</v>
      </c>
    </row>
    <row r="293" spans="1:9" x14ac:dyDescent="0.25">
      <c r="A293" t="s">
        <v>60</v>
      </c>
      <c r="B293" t="s">
        <v>61</v>
      </c>
      <c r="C293">
        <v>2023</v>
      </c>
      <c r="D293" t="s">
        <v>59</v>
      </c>
      <c r="E293">
        <v>1299.6199999999999</v>
      </c>
      <c r="F293" t="s">
        <v>66</v>
      </c>
      <c r="G293">
        <v>142.91079324044</v>
      </c>
      <c r="H293" t="str">
        <f>VLOOKUP(F293,Hoja1!$A$2:$B$8,2,0)</f>
        <v>Millones de dólares</v>
      </c>
      <c r="I293">
        <f t="shared" si="4"/>
        <v>909.39247521595985</v>
      </c>
    </row>
    <row r="294" spans="1:9" x14ac:dyDescent="0.25">
      <c r="A294" t="s">
        <v>7</v>
      </c>
      <c r="B294" t="s">
        <v>8</v>
      </c>
      <c r="C294">
        <v>2023</v>
      </c>
      <c r="D294" t="s">
        <v>62</v>
      </c>
      <c r="E294">
        <v>8723.59</v>
      </c>
      <c r="F294" t="s">
        <v>66</v>
      </c>
      <c r="G294">
        <v>113.1</v>
      </c>
      <c r="H294" t="str">
        <f>VLOOKUP(F294,Hoja1!$A$2:$B$8,2,0)</f>
        <v>Millones de dólares</v>
      </c>
      <c r="I294">
        <f t="shared" si="4"/>
        <v>7713.165340406721</v>
      </c>
    </row>
    <row r="295" spans="1:9" x14ac:dyDescent="0.25">
      <c r="A295" t="s">
        <v>11</v>
      </c>
      <c r="B295" t="s">
        <v>12</v>
      </c>
      <c r="C295">
        <v>2023</v>
      </c>
      <c r="D295" t="s">
        <v>62</v>
      </c>
      <c r="E295">
        <v>3932.12</v>
      </c>
      <c r="F295" t="s">
        <v>66</v>
      </c>
      <c r="G295">
        <v>114.9804580639055</v>
      </c>
      <c r="H295" t="str">
        <f>VLOOKUP(F295,Hoja1!$A$2:$B$8,2,0)</f>
        <v>Millones de dólares</v>
      </c>
      <c r="I295">
        <f t="shared" si="4"/>
        <v>3419.8159115130238</v>
      </c>
    </row>
    <row r="296" spans="1:9" x14ac:dyDescent="0.25">
      <c r="A296" t="s">
        <v>13</v>
      </c>
      <c r="B296" t="s">
        <v>14</v>
      </c>
      <c r="C296">
        <v>2023</v>
      </c>
      <c r="D296" t="s">
        <v>62</v>
      </c>
      <c r="E296">
        <v>421.4</v>
      </c>
      <c r="F296" t="s">
        <v>66</v>
      </c>
      <c r="G296">
        <v>106.29477728169449</v>
      </c>
      <c r="H296" t="str">
        <f>VLOOKUP(F296,Hoja1!$A$2:$B$8,2,0)</f>
        <v>Millones de dólares</v>
      </c>
      <c r="I296">
        <f t="shared" si="4"/>
        <v>396.44468973601323</v>
      </c>
    </row>
    <row r="297" spans="1:9" x14ac:dyDescent="0.25">
      <c r="A297" t="s">
        <v>17</v>
      </c>
      <c r="B297" t="s">
        <v>18</v>
      </c>
      <c r="C297">
        <v>2023</v>
      </c>
      <c r="D297" t="s">
        <v>62</v>
      </c>
      <c r="E297">
        <v>206.62</v>
      </c>
      <c r="F297" t="s">
        <v>66</v>
      </c>
      <c r="G297">
        <v>112.5907184615296</v>
      </c>
      <c r="H297" t="str">
        <f>VLOOKUP(F297,Hoja1!$A$2:$B$8,2,0)</f>
        <v>Millones de dólares</v>
      </c>
      <c r="I297">
        <f t="shared" si="4"/>
        <v>183.51423884962477</v>
      </c>
    </row>
    <row r="298" spans="1:9" x14ac:dyDescent="0.25">
      <c r="A298" t="s">
        <v>19</v>
      </c>
      <c r="B298" t="s">
        <v>20</v>
      </c>
      <c r="C298">
        <v>2023</v>
      </c>
      <c r="D298" t="s">
        <v>62</v>
      </c>
      <c r="E298">
        <v>115.96</v>
      </c>
      <c r="F298" t="s">
        <v>66</v>
      </c>
      <c r="G298">
        <v>109.28697630462941</v>
      </c>
      <c r="H298" t="str">
        <f>VLOOKUP(F298,Hoja1!$A$2:$B$8,2,0)</f>
        <v>Millones de dólares</v>
      </c>
      <c r="I298">
        <f t="shared" si="4"/>
        <v>106.10596424295795</v>
      </c>
    </row>
    <row r="299" spans="1:9" x14ac:dyDescent="0.25">
      <c r="A299" t="s">
        <v>21</v>
      </c>
      <c r="B299" t="s">
        <v>22</v>
      </c>
      <c r="C299">
        <v>2023</v>
      </c>
      <c r="D299" t="s">
        <v>62</v>
      </c>
      <c r="E299">
        <v>120.57</v>
      </c>
      <c r="F299" t="s">
        <v>66</v>
      </c>
      <c r="G299">
        <v>106.2037461670578</v>
      </c>
      <c r="H299" t="str">
        <f>VLOOKUP(F299,Hoja1!$A$2:$B$8,2,0)</f>
        <v>Millones de dólares</v>
      </c>
      <c r="I299">
        <f t="shared" si="4"/>
        <v>113.52706881953503</v>
      </c>
    </row>
    <row r="300" spans="1:9" x14ac:dyDescent="0.25">
      <c r="A300" t="s">
        <v>23</v>
      </c>
      <c r="B300" t="s">
        <v>24</v>
      </c>
      <c r="C300">
        <v>2023</v>
      </c>
      <c r="D300" t="s">
        <v>62</v>
      </c>
      <c r="E300">
        <v>172.78</v>
      </c>
      <c r="F300" t="s">
        <v>66</v>
      </c>
      <c r="G300">
        <v>100.1653065390686</v>
      </c>
      <c r="H300" t="str">
        <f>VLOOKUP(F300,Hoja1!$A$2:$B$8,2,0)</f>
        <v>Millones de dólares</v>
      </c>
      <c r="I300">
        <f t="shared" si="4"/>
        <v>172.49485472558175</v>
      </c>
    </row>
    <row r="301" spans="1:9" x14ac:dyDescent="0.25">
      <c r="A301" t="s">
        <v>25</v>
      </c>
      <c r="B301" t="s">
        <v>26</v>
      </c>
      <c r="C301">
        <v>2023</v>
      </c>
      <c r="D301" t="s">
        <v>62</v>
      </c>
      <c r="E301">
        <v>445.82</v>
      </c>
      <c r="F301" t="s">
        <v>66</v>
      </c>
      <c r="G301">
        <v>88.55771450914564</v>
      </c>
      <c r="H301" t="str">
        <f>VLOOKUP(F301,Hoja1!$A$2:$B$8,2,0)</f>
        <v>Millones de dólares</v>
      </c>
      <c r="I301">
        <f t="shared" si="4"/>
        <v>503.42310940506343</v>
      </c>
    </row>
    <row r="302" spans="1:9" x14ac:dyDescent="0.25">
      <c r="A302" t="s">
        <v>27</v>
      </c>
      <c r="B302" t="s">
        <v>28</v>
      </c>
      <c r="C302">
        <v>2023</v>
      </c>
      <c r="D302" t="s">
        <v>62</v>
      </c>
      <c r="E302">
        <v>58</v>
      </c>
      <c r="F302" t="s">
        <v>66</v>
      </c>
      <c r="G302">
        <v>136.11617005701791</v>
      </c>
      <c r="H302" t="str">
        <f>VLOOKUP(F302,Hoja1!$A$2:$B$8,2,0)</f>
        <v>Millones de dólares</v>
      </c>
      <c r="I302">
        <f t="shared" si="4"/>
        <v>42.610661154882841</v>
      </c>
    </row>
    <row r="303" spans="1:9" x14ac:dyDescent="0.25">
      <c r="A303" t="s">
        <v>29</v>
      </c>
      <c r="B303" t="s">
        <v>30</v>
      </c>
      <c r="C303">
        <v>2023</v>
      </c>
      <c r="D303" t="s">
        <v>62</v>
      </c>
      <c r="E303">
        <v>196.96</v>
      </c>
      <c r="F303" t="s">
        <v>66</v>
      </c>
      <c r="G303">
        <v>100.24856061097501</v>
      </c>
      <c r="H303" t="str">
        <f>VLOOKUP(F303,Hoja1!$A$2:$B$8,2,0)</f>
        <v>Millones de dólares</v>
      </c>
      <c r="I303">
        <f t="shared" si="4"/>
        <v>196.47164886917813</v>
      </c>
    </row>
    <row r="304" spans="1:9" x14ac:dyDescent="0.25">
      <c r="A304" t="s">
        <v>31</v>
      </c>
      <c r="B304" t="s">
        <v>32</v>
      </c>
      <c r="C304">
        <v>2023</v>
      </c>
      <c r="D304" t="s">
        <v>62</v>
      </c>
      <c r="E304">
        <v>559.6</v>
      </c>
      <c r="F304" t="s">
        <v>66</v>
      </c>
      <c r="G304">
        <v>99.157550875022267</v>
      </c>
      <c r="H304" t="str">
        <f>VLOOKUP(F304,Hoja1!$A$2:$B$8,2,0)</f>
        <v>Millones de dólares</v>
      </c>
      <c r="I304">
        <f t="shared" si="4"/>
        <v>564.3543986935673</v>
      </c>
    </row>
    <row r="305" spans="1:9" x14ac:dyDescent="0.25">
      <c r="A305" t="s">
        <v>33</v>
      </c>
      <c r="B305" t="s">
        <v>34</v>
      </c>
      <c r="C305">
        <v>2023</v>
      </c>
      <c r="D305" t="s">
        <v>62</v>
      </c>
      <c r="E305">
        <v>164.08</v>
      </c>
      <c r="F305" t="s">
        <v>66</v>
      </c>
      <c r="G305">
        <v>100.3225939694341</v>
      </c>
      <c r="H305" t="str">
        <f>VLOOKUP(F305,Hoja1!$A$2:$B$8,2,0)</f>
        <v>Millones de dólares</v>
      </c>
      <c r="I305">
        <f t="shared" si="4"/>
        <v>163.55238985346739</v>
      </c>
    </row>
    <row r="306" spans="1:9" x14ac:dyDescent="0.25">
      <c r="A306" t="s">
        <v>35</v>
      </c>
      <c r="B306" t="s">
        <v>36</v>
      </c>
      <c r="C306">
        <v>2023</v>
      </c>
      <c r="D306" t="s">
        <v>62</v>
      </c>
      <c r="E306">
        <v>513.91</v>
      </c>
      <c r="F306" t="s">
        <v>66</v>
      </c>
      <c r="G306">
        <v>127.00031785476931</v>
      </c>
      <c r="H306" t="str">
        <f>VLOOKUP(F306,Hoja1!$A$2:$B$8,2,0)</f>
        <v>Millones de dólares</v>
      </c>
      <c r="I306">
        <f t="shared" si="4"/>
        <v>404.65253054537993</v>
      </c>
    </row>
    <row r="307" spans="1:9" x14ac:dyDescent="0.25">
      <c r="A307" t="s">
        <v>37</v>
      </c>
      <c r="B307" t="s">
        <v>38</v>
      </c>
      <c r="C307">
        <v>2023</v>
      </c>
      <c r="D307" t="s">
        <v>62</v>
      </c>
      <c r="E307">
        <v>503.88</v>
      </c>
      <c r="F307" t="s">
        <v>66</v>
      </c>
      <c r="G307">
        <v>107.5767446910823</v>
      </c>
      <c r="H307" t="str">
        <f>VLOOKUP(F307,Hoja1!$A$2:$B$8,2,0)</f>
        <v>Millones de dólares</v>
      </c>
      <c r="I307">
        <f t="shared" si="4"/>
        <v>468.39119499938704</v>
      </c>
    </row>
    <row r="308" spans="1:9" x14ac:dyDescent="0.25">
      <c r="A308" t="s">
        <v>39</v>
      </c>
      <c r="B308" t="s">
        <v>40</v>
      </c>
      <c r="C308">
        <v>2023</v>
      </c>
      <c r="D308" t="s">
        <v>62</v>
      </c>
      <c r="E308">
        <v>370.85</v>
      </c>
      <c r="F308" t="s">
        <v>66</v>
      </c>
      <c r="G308">
        <v>117.7576015297401</v>
      </c>
      <c r="H308" t="str">
        <f>VLOOKUP(F308,Hoja1!$A$2:$B$8,2,0)</f>
        <v>Millones de dólares</v>
      </c>
      <c r="I308">
        <f t="shared" si="4"/>
        <v>314.92659088028432</v>
      </c>
    </row>
    <row r="309" spans="1:9" x14ac:dyDescent="0.25">
      <c r="A309" t="s">
        <v>41</v>
      </c>
      <c r="B309" t="s">
        <v>42</v>
      </c>
      <c r="C309">
        <v>2023</v>
      </c>
      <c r="D309" t="s">
        <v>62</v>
      </c>
      <c r="E309">
        <v>192.34</v>
      </c>
      <c r="F309" t="s">
        <v>66</v>
      </c>
      <c r="G309">
        <v>116.8817233821558</v>
      </c>
      <c r="H309" t="str">
        <f>VLOOKUP(F309,Hoja1!$A$2:$B$8,2,0)</f>
        <v>Millones de dólares</v>
      </c>
      <c r="I309">
        <f t="shared" si="4"/>
        <v>164.55951746290245</v>
      </c>
    </row>
    <row r="310" spans="1:9" x14ac:dyDescent="0.25">
      <c r="A310" t="s">
        <v>43</v>
      </c>
      <c r="B310" t="s">
        <v>44</v>
      </c>
      <c r="C310">
        <v>2023</v>
      </c>
      <c r="D310" t="s">
        <v>62</v>
      </c>
      <c r="E310">
        <v>114.05</v>
      </c>
      <c r="F310" t="s">
        <v>66</v>
      </c>
      <c r="G310">
        <v>193.20352629865999</v>
      </c>
      <c r="H310" t="str">
        <f>VLOOKUP(F310,Hoja1!$A$2:$B$8,2,0)</f>
        <v>Millones de dólares</v>
      </c>
      <c r="I310">
        <f t="shared" si="4"/>
        <v>59.031013659501205</v>
      </c>
    </row>
    <row r="311" spans="1:9" x14ac:dyDescent="0.25">
      <c r="A311" t="s">
        <v>45</v>
      </c>
      <c r="B311" t="s">
        <v>46</v>
      </c>
      <c r="C311">
        <v>2023</v>
      </c>
      <c r="D311" t="s">
        <v>62</v>
      </c>
      <c r="E311">
        <v>185.72</v>
      </c>
      <c r="F311" t="s">
        <v>66</v>
      </c>
      <c r="G311">
        <v>134.59808747086339</v>
      </c>
      <c r="H311" t="str">
        <f>VLOOKUP(F311,Hoja1!$A$2:$B$8,2,0)</f>
        <v>Millones de dólares</v>
      </c>
      <c r="I311">
        <f t="shared" si="4"/>
        <v>137.98115819454196</v>
      </c>
    </row>
    <row r="312" spans="1:9" x14ac:dyDescent="0.25">
      <c r="A312" t="s">
        <v>47</v>
      </c>
      <c r="B312" t="s">
        <v>48</v>
      </c>
      <c r="C312">
        <v>2023</v>
      </c>
      <c r="D312" t="s">
        <v>62</v>
      </c>
      <c r="E312">
        <v>50.15</v>
      </c>
      <c r="F312" t="s">
        <v>66</v>
      </c>
      <c r="G312">
        <v>102.9481438461891</v>
      </c>
      <c r="H312" t="str">
        <f>VLOOKUP(F312,Hoja1!$A$2:$B$8,2,0)</f>
        <v>Millones de dólares</v>
      </c>
      <c r="I312">
        <f t="shared" si="4"/>
        <v>48.713845754156779</v>
      </c>
    </row>
    <row r="313" spans="1:9" x14ac:dyDescent="0.25">
      <c r="A313" t="s">
        <v>49</v>
      </c>
      <c r="B313" t="s">
        <v>50</v>
      </c>
      <c r="C313">
        <v>2023</v>
      </c>
      <c r="D313" t="s">
        <v>62</v>
      </c>
      <c r="E313">
        <v>72</v>
      </c>
      <c r="F313" t="s">
        <v>66</v>
      </c>
      <c r="G313">
        <v>113.1</v>
      </c>
      <c r="H313" t="str">
        <f>VLOOKUP(F313,Hoja1!$A$2:$B$8,2,0)</f>
        <v>Millones de dólares</v>
      </c>
      <c r="I313">
        <f t="shared" si="4"/>
        <v>63.66047745358091</v>
      </c>
    </row>
    <row r="314" spans="1:9" x14ac:dyDescent="0.25">
      <c r="A314" t="s">
        <v>51</v>
      </c>
      <c r="B314" t="s">
        <v>52</v>
      </c>
      <c r="C314">
        <v>2023</v>
      </c>
      <c r="D314" t="s">
        <v>62</v>
      </c>
      <c r="E314">
        <v>81.99</v>
      </c>
      <c r="F314" t="s">
        <v>66</v>
      </c>
      <c r="G314">
        <v>110.1098857895461</v>
      </c>
      <c r="H314" t="str">
        <f>VLOOKUP(F314,Hoja1!$A$2:$B$8,2,0)</f>
        <v>Millones de dólares</v>
      </c>
      <c r="I314">
        <f t="shared" si="4"/>
        <v>74.461978969543324</v>
      </c>
    </row>
    <row r="315" spans="1:9" x14ac:dyDescent="0.25">
      <c r="A315" t="s">
        <v>53</v>
      </c>
      <c r="B315" t="s">
        <v>54</v>
      </c>
      <c r="C315">
        <v>2023</v>
      </c>
      <c r="D315" t="s">
        <v>62</v>
      </c>
      <c r="E315">
        <v>104.4</v>
      </c>
      <c r="F315" t="s">
        <v>66</v>
      </c>
      <c r="G315">
        <v>117.4474935307215</v>
      </c>
      <c r="H315" t="str">
        <f>VLOOKUP(F315,Hoja1!$A$2:$B$8,2,0)</f>
        <v>Millones de dólares</v>
      </c>
      <c r="I315">
        <f t="shared" si="4"/>
        <v>88.890785883558607</v>
      </c>
    </row>
    <row r="316" spans="1:9" x14ac:dyDescent="0.25">
      <c r="A316" t="s">
        <v>55</v>
      </c>
      <c r="B316" t="s">
        <v>56</v>
      </c>
      <c r="C316">
        <v>2023</v>
      </c>
      <c r="D316" t="s">
        <v>62</v>
      </c>
      <c r="E316">
        <v>7.75</v>
      </c>
      <c r="F316" t="s">
        <v>66</v>
      </c>
      <c r="G316">
        <v>109.95244477332351</v>
      </c>
      <c r="H316" t="str">
        <f>VLOOKUP(F316,Hoja1!$A$2:$B$8,2,0)</f>
        <v>Millones de dólares</v>
      </c>
      <c r="I316">
        <f t="shared" si="4"/>
        <v>7.0485017554428158</v>
      </c>
    </row>
    <row r="317" spans="1:9" x14ac:dyDescent="0.25">
      <c r="A317" t="s">
        <v>57</v>
      </c>
      <c r="B317" t="s">
        <v>58</v>
      </c>
      <c r="C317">
        <v>2023</v>
      </c>
      <c r="D317" t="s">
        <v>62</v>
      </c>
      <c r="E317">
        <v>132.63999999999999</v>
      </c>
      <c r="F317" t="s">
        <v>66</v>
      </c>
      <c r="G317">
        <v>113.1</v>
      </c>
      <c r="H317" t="str">
        <f>VLOOKUP(F317,Hoja1!$A$2:$B$8,2,0)</f>
        <v>Millones de dólares</v>
      </c>
      <c r="I317">
        <f t="shared" si="4"/>
        <v>117.27674624226347</v>
      </c>
    </row>
    <row r="318" spans="1:9" x14ac:dyDescent="0.25">
      <c r="A318" t="s">
        <v>7</v>
      </c>
      <c r="B318" t="s">
        <v>8</v>
      </c>
      <c r="C318">
        <v>2023</v>
      </c>
      <c r="D318" t="s">
        <v>9</v>
      </c>
      <c r="E318">
        <v>996178.96</v>
      </c>
      <c r="F318" t="s">
        <v>67</v>
      </c>
      <c r="H318" t="str">
        <f>VLOOKUP(F318,Hoja1!$A$2:$B$8,2,0)</f>
        <v>Millones de dólares</v>
      </c>
      <c r="I318" t="str">
        <f t="shared" si="4"/>
        <v/>
      </c>
    </row>
    <row r="319" spans="1:9" x14ac:dyDescent="0.25">
      <c r="A319" t="s">
        <v>11</v>
      </c>
      <c r="B319" t="s">
        <v>12</v>
      </c>
      <c r="C319">
        <v>2023</v>
      </c>
      <c r="D319" t="s">
        <v>9</v>
      </c>
      <c r="E319">
        <v>251987.83</v>
      </c>
      <c r="F319" t="s">
        <v>67</v>
      </c>
      <c r="H319" t="str">
        <f>VLOOKUP(F319,Hoja1!$A$2:$B$8,2,0)</f>
        <v>Millones de dólares</v>
      </c>
      <c r="I319" t="str">
        <f t="shared" si="4"/>
        <v/>
      </c>
    </row>
    <row r="320" spans="1:9" x14ac:dyDescent="0.25">
      <c r="A320" t="s">
        <v>13</v>
      </c>
      <c r="B320" t="s">
        <v>14</v>
      </c>
      <c r="C320">
        <v>2023</v>
      </c>
      <c r="D320" t="s">
        <v>9</v>
      </c>
      <c r="E320">
        <v>30613.439999999999</v>
      </c>
      <c r="F320" t="s">
        <v>67</v>
      </c>
      <c r="H320" t="str">
        <f>VLOOKUP(F320,Hoja1!$A$2:$B$8,2,0)</f>
        <v>Millones de dólares</v>
      </c>
      <c r="I320" t="str">
        <f t="shared" si="4"/>
        <v/>
      </c>
    </row>
    <row r="321" spans="1:9" x14ac:dyDescent="0.25">
      <c r="A321" t="s">
        <v>15</v>
      </c>
      <c r="B321" t="s">
        <v>16</v>
      </c>
      <c r="C321">
        <v>2023</v>
      </c>
      <c r="D321" t="s">
        <v>9</v>
      </c>
      <c r="E321">
        <v>4900.01</v>
      </c>
      <c r="F321" t="s">
        <v>67</v>
      </c>
      <c r="H321" t="str">
        <f>VLOOKUP(F321,Hoja1!$A$2:$B$8,2,0)</f>
        <v>Millones de dólares</v>
      </c>
      <c r="I321" t="str">
        <f t="shared" si="4"/>
        <v/>
      </c>
    </row>
    <row r="322" spans="1:9" x14ac:dyDescent="0.25">
      <c r="A322" t="s">
        <v>17</v>
      </c>
      <c r="B322" t="s">
        <v>18</v>
      </c>
      <c r="C322">
        <v>2023</v>
      </c>
      <c r="D322" t="s">
        <v>9</v>
      </c>
      <c r="E322">
        <v>13335.54</v>
      </c>
      <c r="F322" t="s">
        <v>67</v>
      </c>
      <c r="H322" t="str">
        <f>VLOOKUP(F322,Hoja1!$A$2:$B$8,2,0)</f>
        <v>Millones de dólares</v>
      </c>
      <c r="I322" t="str">
        <f t="shared" si="4"/>
        <v/>
      </c>
    </row>
    <row r="323" spans="1:9" x14ac:dyDescent="0.25">
      <c r="A323" t="s">
        <v>19</v>
      </c>
      <c r="B323" t="s">
        <v>20</v>
      </c>
      <c r="C323">
        <v>2023</v>
      </c>
      <c r="D323" t="s">
        <v>9</v>
      </c>
      <c r="E323">
        <v>11091.67</v>
      </c>
      <c r="F323" t="s">
        <v>67</v>
      </c>
      <c r="H323" t="str">
        <f>VLOOKUP(F323,Hoja1!$A$2:$B$8,2,0)</f>
        <v>Millones de dólares</v>
      </c>
      <c r="I323" t="str">
        <f t="shared" ref="I323:I386" si="5">IFERROR(IF(H323="Millones de dólares",E323/G323*100,E323),"")</f>
        <v/>
      </c>
    </row>
    <row r="324" spans="1:9" x14ac:dyDescent="0.25">
      <c r="A324" t="s">
        <v>21</v>
      </c>
      <c r="B324" t="s">
        <v>22</v>
      </c>
      <c r="C324">
        <v>2023</v>
      </c>
      <c r="D324" t="s">
        <v>9</v>
      </c>
      <c r="E324">
        <v>9872.1200000000008</v>
      </c>
      <c r="F324" t="s">
        <v>67</v>
      </c>
      <c r="H324" t="str">
        <f>VLOOKUP(F324,Hoja1!$A$2:$B$8,2,0)</f>
        <v>Millones de dólares</v>
      </c>
      <c r="I324" t="str">
        <f t="shared" si="5"/>
        <v/>
      </c>
    </row>
    <row r="325" spans="1:9" x14ac:dyDescent="0.25">
      <c r="A325" t="s">
        <v>23</v>
      </c>
      <c r="B325" t="s">
        <v>24</v>
      </c>
      <c r="C325">
        <v>2023</v>
      </c>
      <c r="D325" t="s">
        <v>9</v>
      </c>
      <c r="E325">
        <v>8364.36</v>
      </c>
      <c r="F325" t="s">
        <v>67</v>
      </c>
      <c r="H325" t="str">
        <f>VLOOKUP(F325,Hoja1!$A$2:$B$8,2,0)</f>
        <v>Millones de dólares</v>
      </c>
      <c r="I325" t="str">
        <f t="shared" si="5"/>
        <v/>
      </c>
    </row>
    <row r="326" spans="1:9" x14ac:dyDescent="0.25">
      <c r="A326" t="s">
        <v>25</v>
      </c>
      <c r="B326" t="s">
        <v>26</v>
      </c>
      <c r="C326">
        <v>2023</v>
      </c>
      <c r="D326" t="s">
        <v>9</v>
      </c>
      <c r="E326">
        <v>35294.269999999997</v>
      </c>
      <c r="F326" t="s">
        <v>67</v>
      </c>
      <c r="H326" t="str">
        <f>VLOOKUP(F326,Hoja1!$A$2:$B$8,2,0)</f>
        <v>Millones de dólares</v>
      </c>
      <c r="I326" t="str">
        <f t="shared" si="5"/>
        <v/>
      </c>
    </row>
    <row r="327" spans="1:9" x14ac:dyDescent="0.25">
      <c r="A327" t="s">
        <v>27</v>
      </c>
      <c r="B327" t="s">
        <v>28</v>
      </c>
      <c r="C327">
        <v>2023</v>
      </c>
      <c r="D327" t="s">
        <v>9</v>
      </c>
      <c r="E327">
        <v>3008.56</v>
      </c>
      <c r="F327" t="s">
        <v>67</v>
      </c>
      <c r="H327" t="str">
        <f>VLOOKUP(F327,Hoja1!$A$2:$B$8,2,0)</f>
        <v>Millones de dólares</v>
      </c>
      <c r="I327" t="str">
        <f t="shared" si="5"/>
        <v/>
      </c>
    </row>
    <row r="328" spans="1:9" x14ac:dyDescent="0.25">
      <c r="A328" t="s">
        <v>29</v>
      </c>
      <c r="B328" t="s">
        <v>30</v>
      </c>
      <c r="C328">
        <v>2023</v>
      </c>
      <c r="D328" t="s">
        <v>9</v>
      </c>
      <c r="E328">
        <v>104160.47</v>
      </c>
      <c r="F328" t="s">
        <v>67</v>
      </c>
      <c r="H328" t="str">
        <f>VLOOKUP(F328,Hoja1!$A$2:$B$8,2,0)</f>
        <v>Millones de dólares</v>
      </c>
      <c r="I328" t="str">
        <f t="shared" si="5"/>
        <v/>
      </c>
    </row>
    <row r="329" spans="1:9" x14ac:dyDescent="0.25">
      <c r="A329" t="s">
        <v>31</v>
      </c>
      <c r="B329" t="s">
        <v>32</v>
      </c>
      <c r="C329">
        <v>2023</v>
      </c>
      <c r="D329" t="s">
        <v>9</v>
      </c>
      <c r="E329">
        <v>104098.06</v>
      </c>
      <c r="F329" t="s">
        <v>67</v>
      </c>
      <c r="H329" t="str">
        <f>VLOOKUP(F329,Hoja1!$A$2:$B$8,2,0)</f>
        <v>Millones de dólares</v>
      </c>
      <c r="I329" t="str">
        <f t="shared" si="5"/>
        <v/>
      </c>
    </row>
    <row r="330" spans="1:9" x14ac:dyDescent="0.25">
      <c r="A330" t="s">
        <v>33</v>
      </c>
      <c r="B330" t="s">
        <v>34</v>
      </c>
      <c r="C330">
        <v>2023</v>
      </c>
      <c r="D330" t="s">
        <v>9</v>
      </c>
      <c r="E330">
        <v>19784.310000000001</v>
      </c>
      <c r="F330" t="s">
        <v>67</v>
      </c>
      <c r="H330" t="str">
        <f>VLOOKUP(F330,Hoja1!$A$2:$B$8,2,0)</f>
        <v>Millones de dólares</v>
      </c>
      <c r="I330" t="str">
        <f t="shared" si="5"/>
        <v/>
      </c>
    </row>
    <row r="331" spans="1:9" x14ac:dyDescent="0.25">
      <c r="A331" t="s">
        <v>35</v>
      </c>
      <c r="B331" t="s">
        <v>36</v>
      </c>
      <c r="C331">
        <v>2023</v>
      </c>
      <c r="D331" t="s">
        <v>9</v>
      </c>
      <c r="E331">
        <v>35688.92</v>
      </c>
      <c r="F331" t="s">
        <v>67</v>
      </c>
      <c r="H331" t="str">
        <f>VLOOKUP(F331,Hoja1!$A$2:$B$8,2,0)</f>
        <v>Millones de dólares</v>
      </c>
      <c r="I331" t="str">
        <f t="shared" si="5"/>
        <v/>
      </c>
    </row>
    <row r="332" spans="1:9" x14ac:dyDescent="0.25">
      <c r="A332" t="s">
        <v>37</v>
      </c>
      <c r="B332" t="s">
        <v>38</v>
      </c>
      <c r="C332">
        <v>2023</v>
      </c>
      <c r="D332" t="s">
        <v>9</v>
      </c>
      <c r="E332">
        <v>29563.54</v>
      </c>
      <c r="F332" t="s">
        <v>67</v>
      </c>
      <c r="H332" t="str">
        <f>VLOOKUP(F332,Hoja1!$A$2:$B$8,2,0)</f>
        <v>Millones de dólares</v>
      </c>
      <c r="I332" t="str">
        <f t="shared" si="5"/>
        <v/>
      </c>
    </row>
    <row r="333" spans="1:9" x14ac:dyDescent="0.25">
      <c r="A333" t="s">
        <v>39</v>
      </c>
      <c r="B333" t="s">
        <v>40</v>
      </c>
      <c r="C333">
        <v>2023</v>
      </c>
      <c r="D333" t="s">
        <v>9</v>
      </c>
      <c r="E333">
        <v>77135.66</v>
      </c>
      <c r="F333" t="s">
        <v>67</v>
      </c>
      <c r="H333" t="str">
        <f>VLOOKUP(F333,Hoja1!$A$2:$B$8,2,0)</f>
        <v>Millones de dólares</v>
      </c>
      <c r="I333" t="str">
        <f t="shared" si="5"/>
        <v/>
      </c>
    </row>
    <row r="334" spans="1:9" x14ac:dyDescent="0.25">
      <c r="A334" t="s">
        <v>41</v>
      </c>
      <c r="B334" t="s">
        <v>42</v>
      </c>
      <c r="C334">
        <v>2023</v>
      </c>
      <c r="D334" t="s">
        <v>9</v>
      </c>
      <c r="E334">
        <v>27162.28</v>
      </c>
      <c r="F334" t="s">
        <v>67</v>
      </c>
      <c r="H334" t="str">
        <f>VLOOKUP(F334,Hoja1!$A$2:$B$8,2,0)</f>
        <v>Millones de dólares</v>
      </c>
      <c r="I334" t="str">
        <f t="shared" si="5"/>
        <v/>
      </c>
    </row>
    <row r="335" spans="1:9" x14ac:dyDescent="0.25">
      <c r="A335" t="s">
        <v>43</v>
      </c>
      <c r="B335" t="s">
        <v>44</v>
      </c>
      <c r="C335">
        <v>2023</v>
      </c>
      <c r="D335" t="s">
        <v>9</v>
      </c>
      <c r="E335">
        <v>7847.77</v>
      </c>
      <c r="F335" t="s">
        <v>67</v>
      </c>
      <c r="H335" t="str">
        <f>VLOOKUP(F335,Hoja1!$A$2:$B$8,2,0)</f>
        <v>Millones de dólares</v>
      </c>
      <c r="I335" t="str">
        <f t="shared" si="5"/>
        <v/>
      </c>
    </row>
    <row r="336" spans="1:9" x14ac:dyDescent="0.25">
      <c r="A336" t="s">
        <v>45</v>
      </c>
      <c r="B336" t="s">
        <v>46</v>
      </c>
      <c r="C336">
        <v>2023</v>
      </c>
      <c r="D336" t="s">
        <v>9</v>
      </c>
      <c r="E336">
        <v>30368.87</v>
      </c>
      <c r="F336" t="s">
        <v>67</v>
      </c>
      <c r="H336" t="str">
        <f>VLOOKUP(F336,Hoja1!$A$2:$B$8,2,0)</f>
        <v>Millones de dólares</v>
      </c>
      <c r="I336" t="str">
        <f t="shared" si="5"/>
        <v/>
      </c>
    </row>
    <row r="337" spans="1:9" x14ac:dyDescent="0.25">
      <c r="A337" t="s">
        <v>47</v>
      </c>
      <c r="B337" t="s">
        <v>48</v>
      </c>
      <c r="C337">
        <v>2023</v>
      </c>
      <c r="D337" t="s">
        <v>9</v>
      </c>
      <c r="E337">
        <v>54211.98</v>
      </c>
      <c r="F337" t="s">
        <v>67</v>
      </c>
      <c r="H337" t="str">
        <f>VLOOKUP(F337,Hoja1!$A$2:$B$8,2,0)</f>
        <v>Millones de dólares</v>
      </c>
      <c r="I337" t="str">
        <f t="shared" si="5"/>
        <v/>
      </c>
    </row>
    <row r="338" spans="1:9" x14ac:dyDescent="0.25">
      <c r="A338" t="s">
        <v>49</v>
      </c>
      <c r="B338" t="s">
        <v>50</v>
      </c>
      <c r="C338">
        <v>2023</v>
      </c>
      <c r="D338" t="s">
        <v>9</v>
      </c>
      <c r="E338">
        <v>97599.59</v>
      </c>
      <c r="F338" t="s">
        <v>67</v>
      </c>
      <c r="H338" t="str">
        <f>VLOOKUP(F338,Hoja1!$A$2:$B$8,2,0)</f>
        <v>Millones de dólares</v>
      </c>
      <c r="I338" t="str">
        <f t="shared" si="5"/>
        <v/>
      </c>
    </row>
    <row r="339" spans="1:9" x14ac:dyDescent="0.25">
      <c r="A339" t="s">
        <v>51</v>
      </c>
      <c r="B339" t="s">
        <v>52</v>
      </c>
      <c r="C339">
        <v>2023</v>
      </c>
      <c r="D339" t="s">
        <v>9</v>
      </c>
      <c r="E339">
        <v>14363.43</v>
      </c>
      <c r="F339" t="s">
        <v>67</v>
      </c>
      <c r="H339" t="str">
        <f>VLOOKUP(F339,Hoja1!$A$2:$B$8,2,0)</f>
        <v>Millones de dólares</v>
      </c>
      <c r="I339" t="str">
        <f t="shared" si="5"/>
        <v/>
      </c>
    </row>
    <row r="340" spans="1:9" x14ac:dyDescent="0.25">
      <c r="A340" t="s">
        <v>53</v>
      </c>
      <c r="B340" t="s">
        <v>54</v>
      </c>
      <c r="C340">
        <v>2023</v>
      </c>
      <c r="D340" t="s">
        <v>9</v>
      </c>
      <c r="E340">
        <v>8535.73</v>
      </c>
      <c r="F340" t="s">
        <v>67</v>
      </c>
      <c r="H340" t="str">
        <f>VLOOKUP(F340,Hoja1!$A$2:$B$8,2,0)</f>
        <v>Millones de dólares</v>
      </c>
      <c r="I340" t="str">
        <f t="shared" si="5"/>
        <v/>
      </c>
    </row>
    <row r="341" spans="1:9" x14ac:dyDescent="0.25">
      <c r="A341" t="s">
        <v>55</v>
      </c>
      <c r="B341" t="s">
        <v>56</v>
      </c>
      <c r="C341">
        <v>2023</v>
      </c>
      <c r="D341" t="s">
        <v>9</v>
      </c>
      <c r="E341">
        <v>7694.76</v>
      </c>
      <c r="F341" t="s">
        <v>67</v>
      </c>
      <c r="H341" t="str">
        <f>VLOOKUP(F341,Hoja1!$A$2:$B$8,2,0)</f>
        <v>Millones de dólares</v>
      </c>
      <c r="I341" t="str">
        <f t="shared" si="5"/>
        <v/>
      </c>
    </row>
    <row r="342" spans="1:9" x14ac:dyDescent="0.25">
      <c r="A342" t="s">
        <v>57</v>
      </c>
      <c r="B342" t="s">
        <v>58</v>
      </c>
      <c r="C342">
        <v>2023</v>
      </c>
      <c r="D342" t="s">
        <v>9</v>
      </c>
      <c r="E342">
        <v>9495.7900000000009</v>
      </c>
      <c r="F342" t="s">
        <v>67</v>
      </c>
      <c r="H342" t="str">
        <f>VLOOKUP(F342,Hoja1!$A$2:$B$8,2,0)</f>
        <v>Millones de dólares</v>
      </c>
      <c r="I342" t="str">
        <f t="shared" si="5"/>
        <v/>
      </c>
    </row>
    <row r="343" spans="1:9" x14ac:dyDescent="0.25">
      <c r="A343" t="s">
        <v>7</v>
      </c>
      <c r="B343" t="s">
        <v>8</v>
      </c>
      <c r="C343">
        <v>2023</v>
      </c>
      <c r="D343" t="s">
        <v>59</v>
      </c>
      <c r="E343">
        <v>80413.39</v>
      </c>
      <c r="F343" t="s">
        <v>67</v>
      </c>
      <c r="G343">
        <v>142.91079324044</v>
      </c>
      <c r="H343" t="str">
        <f>VLOOKUP(F343,Hoja1!$A$2:$B$8,2,0)</f>
        <v>Millones de dólares</v>
      </c>
      <c r="I343">
        <f t="shared" si="5"/>
        <v>56268.241311003461</v>
      </c>
    </row>
    <row r="344" spans="1:9" x14ac:dyDescent="0.25">
      <c r="A344" t="s">
        <v>11</v>
      </c>
      <c r="B344" t="s">
        <v>12</v>
      </c>
      <c r="C344">
        <v>2023</v>
      </c>
      <c r="D344" t="s">
        <v>59</v>
      </c>
      <c r="E344">
        <v>31630.240000000002</v>
      </c>
      <c r="F344" t="s">
        <v>67</v>
      </c>
      <c r="G344">
        <v>150.08579535058001</v>
      </c>
      <c r="H344" t="str">
        <f>VLOOKUP(F344,Hoja1!$A$2:$B$8,2,0)</f>
        <v>Millones de dólares</v>
      </c>
      <c r="I344">
        <f t="shared" si="5"/>
        <v>21074.772550004524</v>
      </c>
    </row>
    <row r="345" spans="1:9" x14ac:dyDescent="0.25">
      <c r="A345" t="s">
        <v>13</v>
      </c>
      <c r="B345" t="s">
        <v>14</v>
      </c>
      <c r="C345">
        <v>2023</v>
      </c>
      <c r="D345" t="s">
        <v>59</v>
      </c>
      <c r="E345">
        <v>5692.82</v>
      </c>
      <c r="F345" t="s">
        <v>67</v>
      </c>
      <c r="G345">
        <v>129.0410448209</v>
      </c>
      <c r="H345" t="str">
        <f>VLOOKUP(F345,Hoja1!$A$2:$B$8,2,0)</f>
        <v>Millones de dólares</v>
      </c>
      <c r="I345">
        <f t="shared" si="5"/>
        <v>4411.6350792891044</v>
      </c>
    </row>
    <row r="346" spans="1:9" x14ac:dyDescent="0.25">
      <c r="A346" t="s">
        <v>17</v>
      </c>
      <c r="B346" t="s">
        <v>18</v>
      </c>
      <c r="C346">
        <v>2023</v>
      </c>
      <c r="D346" t="s">
        <v>59</v>
      </c>
      <c r="E346">
        <v>234</v>
      </c>
      <c r="F346" t="s">
        <v>67</v>
      </c>
      <c r="G346">
        <v>69.851283274747999</v>
      </c>
      <c r="H346" t="str">
        <f>VLOOKUP(F346,Hoja1!$A$2:$B$8,2,0)</f>
        <v>Millones de dólares</v>
      </c>
      <c r="I346">
        <f t="shared" si="5"/>
        <v>334.99742457071443</v>
      </c>
    </row>
    <row r="347" spans="1:9" x14ac:dyDescent="0.25">
      <c r="A347" t="s">
        <v>19</v>
      </c>
      <c r="B347" t="s">
        <v>20</v>
      </c>
      <c r="C347">
        <v>2023</v>
      </c>
      <c r="D347" t="s">
        <v>59</v>
      </c>
      <c r="E347">
        <v>112.33</v>
      </c>
      <c r="F347" t="s">
        <v>67</v>
      </c>
      <c r="G347">
        <v>69.851283274747999</v>
      </c>
      <c r="H347" t="str">
        <f>VLOOKUP(F347,Hoja1!$A$2:$B$8,2,0)</f>
        <v>Millones de dólares</v>
      </c>
      <c r="I347">
        <f t="shared" si="5"/>
        <v>160.81307992319807</v>
      </c>
    </row>
    <row r="348" spans="1:9" x14ac:dyDescent="0.25">
      <c r="A348" t="s">
        <v>21</v>
      </c>
      <c r="B348" t="s">
        <v>22</v>
      </c>
      <c r="C348">
        <v>2023</v>
      </c>
      <c r="D348" t="s">
        <v>59</v>
      </c>
      <c r="E348">
        <v>52.25</v>
      </c>
      <c r="F348" t="s">
        <v>67</v>
      </c>
      <c r="G348">
        <v>69.851283274747999</v>
      </c>
      <c r="H348" t="str">
        <f>VLOOKUP(F348,Hoja1!$A$2:$B$8,2,0)</f>
        <v>Millones de dólares</v>
      </c>
      <c r="I348">
        <f t="shared" si="5"/>
        <v>74.801775358204409</v>
      </c>
    </row>
    <row r="349" spans="1:9" x14ac:dyDescent="0.25">
      <c r="A349" t="s">
        <v>23</v>
      </c>
      <c r="B349" t="s">
        <v>24</v>
      </c>
      <c r="C349">
        <v>2023</v>
      </c>
      <c r="D349" t="s">
        <v>59</v>
      </c>
      <c r="E349">
        <v>3051.98</v>
      </c>
      <c r="F349" t="s">
        <v>67</v>
      </c>
      <c r="G349">
        <v>130.15281667511999</v>
      </c>
      <c r="H349" t="str">
        <f>VLOOKUP(F349,Hoja1!$A$2:$B$8,2,0)</f>
        <v>Millones de dólares</v>
      </c>
      <c r="I349">
        <f t="shared" si="5"/>
        <v>2344.9204388854509</v>
      </c>
    </row>
    <row r="350" spans="1:9" x14ac:dyDescent="0.25">
      <c r="A350" t="s">
        <v>25</v>
      </c>
      <c r="B350" t="s">
        <v>26</v>
      </c>
      <c r="C350">
        <v>2023</v>
      </c>
      <c r="D350" t="s">
        <v>59</v>
      </c>
      <c r="E350">
        <v>3721.75</v>
      </c>
      <c r="F350" t="s">
        <v>67</v>
      </c>
      <c r="G350">
        <v>89.311059064592001</v>
      </c>
      <c r="H350" t="str">
        <f>VLOOKUP(F350,Hoja1!$A$2:$B$8,2,0)</f>
        <v>Millones de dólares</v>
      </c>
      <c r="I350">
        <f t="shared" si="5"/>
        <v>4167.1770987603413</v>
      </c>
    </row>
    <row r="351" spans="1:9" x14ac:dyDescent="0.25">
      <c r="A351" t="s">
        <v>27</v>
      </c>
      <c r="B351" t="s">
        <v>28</v>
      </c>
      <c r="C351">
        <v>2023</v>
      </c>
      <c r="D351" t="s">
        <v>59</v>
      </c>
      <c r="E351">
        <v>271.48</v>
      </c>
      <c r="F351" t="s">
        <v>67</v>
      </c>
      <c r="G351">
        <v>89.311059064592001</v>
      </c>
      <c r="H351" t="str">
        <f>VLOOKUP(F351,Hoja1!$A$2:$B$8,2,0)</f>
        <v>Millones de dólares</v>
      </c>
      <c r="I351">
        <f t="shared" si="5"/>
        <v>303.97131423966084</v>
      </c>
    </row>
    <row r="352" spans="1:9" x14ac:dyDescent="0.25">
      <c r="A352" t="s">
        <v>31</v>
      </c>
      <c r="B352" t="s">
        <v>32</v>
      </c>
      <c r="C352">
        <v>2023</v>
      </c>
      <c r="D352" t="s">
        <v>59</v>
      </c>
      <c r="E352">
        <v>15432.99</v>
      </c>
      <c r="F352" t="s">
        <v>67</v>
      </c>
      <c r="G352">
        <v>179.38969123864001</v>
      </c>
      <c r="H352" t="str">
        <f>VLOOKUP(F352,Hoja1!$A$2:$B$8,2,0)</f>
        <v>Millones de dólares</v>
      </c>
      <c r="I352">
        <f t="shared" si="5"/>
        <v>8603.0528808200434</v>
      </c>
    </row>
    <row r="353" spans="1:9" x14ac:dyDescent="0.25">
      <c r="A353" t="s">
        <v>33</v>
      </c>
      <c r="B353" t="s">
        <v>34</v>
      </c>
      <c r="C353">
        <v>2023</v>
      </c>
      <c r="D353" t="s">
        <v>59</v>
      </c>
      <c r="E353">
        <v>1338.9</v>
      </c>
      <c r="F353" t="s">
        <v>67</v>
      </c>
      <c r="G353">
        <v>179.38969123864001</v>
      </c>
      <c r="H353" t="str">
        <f>VLOOKUP(F353,Hoja1!$A$2:$B$8,2,0)</f>
        <v>Millones de dólares</v>
      </c>
      <c r="I353">
        <f t="shared" si="5"/>
        <v>746.3639581267114</v>
      </c>
    </row>
    <row r="354" spans="1:9" x14ac:dyDescent="0.25">
      <c r="A354" t="s">
        <v>35</v>
      </c>
      <c r="B354" t="s">
        <v>36</v>
      </c>
      <c r="C354">
        <v>2023</v>
      </c>
      <c r="D354" t="s">
        <v>59</v>
      </c>
      <c r="E354">
        <v>2624.9</v>
      </c>
      <c r="F354" t="s">
        <v>67</v>
      </c>
      <c r="G354">
        <v>179.38969123864001</v>
      </c>
      <c r="H354" t="str">
        <f>VLOOKUP(F354,Hoja1!$A$2:$B$8,2,0)</f>
        <v>Millones de dólares</v>
      </c>
      <c r="I354">
        <f t="shared" si="5"/>
        <v>1463.2390422636529</v>
      </c>
    </row>
    <row r="355" spans="1:9" x14ac:dyDescent="0.25">
      <c r="A355" t="s">
        <v>37</v>
      </c>
      <c r="B355" t="s">
        <v>38</v>
      </c>
      <c r="C355">
        <v>2023</v>
      </c>
      <c r="D355" t="s">
        <v>59</v>
      </c>
      <c r="E355">
        <v>3090.52</v>
      </c>
      <c r="F355" t="s">
        <v>67</v>
      </c>
      <c r="G355">
        <v>137.65188865636</v>
      </c>
      <c r="H355" t="str">
        <f>VLOOKUP(F355,Hoja1!$A$2:$B$8,2,0)</f>
        <v>Millones de dólares</v>
      </c>
      <c r="I355">
        <f t="shared" si="5"/>
        <v>2245.1707929088466</v>
      </c>
    </row>
    <row r="356" spans="1:9" x14ac:dyDescent="0.25">
      <c r="A356" t="s">
        <v>39</v>
      </c>
      <c r="B356" t="s">
        <v>40</v>
      </c>
      <c r="C356">
        <v>2023</v>
      </c>
      <c r="D356" t="s">
        <v>59</v>
      </c>
      <c r="E356">
        <v>2223.9499999999998</v>
      </c>
      <c r="F356" t="s">
        <v>67</v>
      </c>
      <c r="G356">
        <v>140.40843314838</v>
      </c>
      <c r="H356" t="str">
        <f>VLOOKUP(F356,Hoja1!$A$2:$B$8,2,0)</f>
        <v>Millones de dólares</v>
      </c>
      <c r="I356">
        <f t="shared" si="5"/>
        <v>1583.9148334130239</v>
      </c>
    </row>
    <row r="357" spans="1:9" x14ac:dyDescent="0.25">
      <c r="A357" t="s">
        <v>41</v>
      </c>
      <c r="B357" t="s">
        <v>42</v>
      </c>
      <c r="C357">
        <v>2023</v>
      </c>
      <c r="D357" t="s">
        <v>59</v>
      </c>
      <c r="E357">
        <v>2210.81</v>
      </c>
      <c r="F357" t="s">
        <v>67</v>
      </c>
      <c r="G357">
        <v>140.40843314838</v>
      </c>
      <c r="H357" t="str">
        <f>VLOOKUP(F357,Hoja1!$A$2:$B$8,2,0)</f>
        <v>Millones de dólares</v>
      </c>
      <c r="I357">
        <f t="shared" si="5"/>
        <v>1574.5564211685726</v>
      </c>
    </row>
    <row r="358" spans="1:9" x14ac:dyDescent="0.25">
      <c r="A358" t="s">
        <v>43</v>
      </c>
      <c r="B358" t="s">
        <v>44</v>
      </c>
      <c r="C358">
        <v>2023</v>
      </c>
      <c r="D358" t="s">
        <v>59</v>
      </c>
      <c r="E358">
        <v>21.67</v>
      </c>
      <c r="F358" t="s">
        <v>67</v>
      </c>
      <c r="G358">
        <v>140.40843314838</v>
      </c>
      <c r="H358" t="str">
        <f>VLOOKUP(F358,Hoja1!$A$2:$B$8,2,0)</f>
        <v>Millones de dólares</v>
      </c>
      <c r="I358">
        <f t="shared" si="5"/>
        <v>15.433545916077355</v>
      </c>
    </row>
    <row r="359" spans="1:9" x14ac:dyDescent="0.25">
      <c r="A359" t="s">
        <v>45</v>
      </c>
      <c r="B359" t="s">
        <v>46</v>
      </c>
      <c r="C359">
        <v>2023</v>
      </c>
      <c r="D359" t="s">
        <v>59</v>
      </c>
      <c r="E359">
        <v>1062.18</v>
      </c>
      <c r="F359" t="s">
        <v>67</v>
      </c>
      <c r="G359">
        <v>140.40843314838</v>
      </c>
      <c r="H359" t="str">
        <f>VLOOKUP(F359,Hoja1!$A$2:$B$8,2,0)</f>
        <v>Millones de dólares</v>
      </c>
      <c r="I359">
        <f t="shared" si="5"/>
        <v>756.49302266446898</v>
      </c>
    </row>
    <row r="360" spans="1:9" x14ac:dyDescent="0.25">
      <c r="A360" t="s">
        <v>47</v>
      </c>
      <c r="B360" t="s">
        <v>48</v>
      </c>
      <c r="C360">
        <v>2023</v>
      </c>
      <c r="D360" t="s">
        <v>59</v>
      </c>
      <c r="E360">
        <v>856.75</v>
      </c>
      <c r="F360" t="s">
        <v>67</v>
      </c>
      <c r="G360">
        <v>140.40843314838</v>
      </c>
      <c r="H360" t="str">
        <f>VLOOKUP(F360,Hoja1!$A$2:$B$8,2,0)</f>
        <v>Millones de dólares</v>
      </c>
      <c r="I360">
        <f t="shared" si="5"/>
        <v>610.18414691274904</v>
      </c>
    </row>
    <row r="361" spans="1:9" x14ac:dyDescent="0.25">
      <c r="A361" t="s">
        <v>49</v>
      </c>
      <c r="B361" t="s">
        <v>50</v>
      </c>
      <c r="C361">
        <v>2023</v>
      </c>
      <c r="D361" t="s">
        <v>59</v>
      </c>
      <c r="E361">
        <v>146.56</v>
      </c>
      <c r="F361" t="s">
        <v>67</v>
      </c>
      <c r="G361">
        <v>142.91079324044</v>
      </c>
      <c r="H361" t="str">
        <f>VLOOKUP(F361,Hoja1!$A$2:$B$8,2,0)</f>
        <v>Millones de dólares</v>
      </c>
      <c r="I361">
        <f t="shared" si="5"/>
        <v>102.5534857632624</v>
      </c>
    </row>
    <row r="362" spans="1:9" x14ac:dyDescent="0.25">
      <c r="A362" t="s">
        <v>51</v>
      </c>
      <c r="B362" t="s">
        <v>52</v>
      </c>
      <c r="C362">
        <v>2023</v>
      </c>
      <c r="D362" t="s">
        <v>59</v>
      </c>
      <c r="E362">
        <v>41.59</v>
      </c>
      <c r="F362" t="s">
        <v>67</v>
      </c>
      <c r="G362">
        <v>140.40843314838</v>
      </c>
      <c r="H362" t="str">
        <f>VLOOKUP(F362,Hoja1!$A$2:$B$8,2,0)</f>
        <v>Millones de dólares</v>
      </c>
      <c r="I362">
        <f t="shared" si="5"/>
        <v>29.620727948761289</v>
      </c>
    </row>
    <row r="363" spans="1:9" x14ac:dyDescent="0.25">
      <c r="A363" t="s">
        <v>53</v>
      </c>
      <c r="B363" t="s">
        <v>54</v>
      </c>
      <c r="C363">
        <v>2023</v>
      </c>
      <c r="D363" t="s">
        <v>59</v>
      </c>
      <c r="E363">
        <v>557.95000000000005</v>
      </c>
      <c r="F363" t="s">
        <v>67</v>
      </c>
      <c r="G363">
        <v>130.15281667511999</v>
      </c>
      <c r="H363" t="str">
        <f>VLOOKUP(F363,Hoja1!$A$2:$B$8,2,0)</f>
        <v>Millones de dólares</v>
      </c>
      <c r="I363">
        <f t="shared" si="5"/>
        <v>428.68837897893741</v>
      </c>
    </row>
    <row r="364" spans="1:9" x14ac:dyDescent="0.25">
      <c r="A364" t="s">
        <v>55</v>
      </c>
      <c r="B364" t="s">
        <v>56</v>
      </c>
      <c r="C364">
        <v>2023</v>
      </c>
      <c r="D364" t="s">
        <v>59</v>
      </c>
      <c r="E364">
        <v>161.5</v>
      </c>
      <c r="F364" t="s">
        <v>67</v>
      </c>
      <c r="G364">
        <v>142.91079324044</v>
      </c>
      <c r="H364" t="str">
        <f>VLOOKUP(F364,Hoja1!$A$2:$B$8,2,0)</f>
        <v>Millones de dólares</v>
      </c>
      <c r="I364">
        <f t="shared" si="5"/>
        <v>113.00755970774344</v>
      </c>
    </row>
    <row r="365" spans="1:9" x14ac:dyDescent="0.25">
      <c r="A365" t="s">
        <v>57</v>
      </c>
      <c r="B365" t="s">
        <v>58</v>
      </c>
      <c r="C365">
        <v>2023</v>
      </c>
      <c r="D365" t="s">
        <v>59</v>
      </c>
      <c r="E365">
        <v>1537.31</v>
      </c>
      <c r="F365" t="s">
        <v>67</v>
      </c>
      <c r="G365">
        <v>142.91079324044</v>
      </c>
      <c r="H365" t="str">
        <f>VLOOKUP(F365,Hoja1!$A$2:$B$8,2,0)</f>
        <v>Millones de dólares</v>
      </c>
      <c r="I365">
        <f t="shared" si="5"/>
        <v>1075.7130130917092</v>
      </c>
    </row>
    <row r="366" spans="1:9" x14ac:dyDescent="0.25">
      <c r="A366" t="s">
        <v>60</v>
      </c>
      <c r="B366" t="s">
        <v>61</v>
      </c>
      <c r="C366">
        <v>2023</v>
      </c>
      <c r="D366" t="s">
        <v>59</v>
      </c>
      <c r="E366">
        <v>4338.96</v>
      </c>
      <c r="F366" t="s">
        <v>67</v>
      </c>
      <c r="G366">
        <v>142.91079324044</v>
      </c>
      <c r="H366" t="str">
        <f>VLOOKUP(F366,Hoja1!$A$2:$B$8,2,0)</f>
        <v>Millones de dólares</v>
      </c>
      <c r="I366">
        <f t="shared" si="5"/>
        <v>3036.1317725666281</v>
      </c>
    </row>
    <row r="367" spans="1:9" x14ac:dyDescent="0.25">
      <c r="A367" t="s">
        <v>7</v>
      </c>
      <c r="B367" t="s">
        <v>8</v>
      </c>
      <c r="C367">
        <v>2023</v>
      </c>
      <c r="D367" t="s">
        <v>62</v>
      </c>
      <c r="E367">
        <v>42328.01</v>
      </c>
      <c r="F367" t="s">
        <v>67</v>
      </c>
      <c r="G367">
        <v>113.1</v>
      </c>
      <c r="H367" t="str">
        <f>VLOOKUP(F367,Hoja1!$A$2:$B$8,2,0)</f>
        <v>Millones de dólares</v>
      </c>
      <c r="I367">
        <f t="shared" si="5"/>
        <v>37425.296198054821</v>
      </c>
    </row>
    <row r="368" spans="1:9" x14ac:dyDescent="0.25">
      <c r="A368" t="s">
        <v>11</v>
      </c>
      <c r="B368" t="s">
        <v>12</v>
      </c>
      <c r="C368">
        <v>2023</v>
      </c>
      <c r="D368" t="s">
        <v>62</v>
      </c>
      <c r="E368">
        <v>19023.53</v>
      </c>
      <c r="F368" t="s">
        <v>67</v>
      </c>
      <c r="G368">
        <v>114.9804580639055</v>
      </c>
      <c r="H368" t="str">
        <f>VLOOKUP(F368,Hoja1!$A$2:$B$8,2,0)</f>
        <v>Millones de dólares</v>
      </c>
      <c r="I368">
        <f t="shared" si="5"/>
        <v>16545.011491802223</v>
      </c>
    </row>
    <row r="369" spans="1:9" x14ac:dyDescent="0.25">
      <c r="A369" t="s">
        <v>13</v>
      </c>
      <c r="B369" t="s">
        <v>14</v>
      </c>
      <c r="C369">
        <v>2023</v>
      </c>
      <c r="D369" t="s">
        <v>62</v>
      </c>
      <c r="E369">
        <v>1380.98</v>
      </c>
      <c r="F369" t="s">
        <v>67</v>
      </c>
      <c r="G369">
        <v>106.29477728169449</v>
      </c>
      <c r="H369" t="str">
        <f>VLOOKUP(F369,Hoja1!$A$2:$B$8,2,0)</f>
        <v>Millones de dólares</v>
      </c>
      <c r="I369">
        <f t="shared" si="5"/>
        <v>1299.1983569806348</v>
      </c>
    </row>
    <row r="370" spans="1:9" x14ac:dyDescent="0.25">
      <c r="A370" t="s">
        <v>17</v>
      </c>
      <c r="B370" t="s">
        <v>18</v>
      </c>
      <c r="C370">
        <v>2023</v>
      </c>
      <c r="D370" t="s">
        <v>62</v>
      </c>
      <c r="E370">
        <v>620.63</v>
      </c>
      <c r="F370" t="s">
        <v>67</v>
      </c>
      <c r="G370">
        <v>112.5907184615296</v>
      </c>
      <c r="H370" t="str">
        <f>VLOOKUP(F370,Hoja1!$A$2:$B$8,2,0)</f>
        <v>Millones de dólares</v>
      </c>
      <c r="I370">
        <f t="shared" si="5"/>
        <v>551.22660951138619</v>
      </c>
    </row>
    <row r="371" spans="1:9" x14ac:dyDescent="0.25">
      <c r="A371" t="s">
        <v>19</v>
      </c>
      <c r="B371" t="s">
        <v>20</v>
      </c>
      <c r="C371">
        <v>2023</v>
      </c>
      <c r="D371" t="s">
        <v>62</v>
      </c>
      <c r="E371">
        <v>299.49</v>
      </c>
      <c r="F371" t="s">
        <v>67</v>
      </c>
      <c r="G371">
        <v>109.28697630462941</v>
      </c>
      <c r="H371" t="str">
        <f>VLOOKUP(F371,Hoja1!$A$2:$B$8,2,0)</f>
        <v>Millones de dólares</v>
      </c>
      <c r="I371">
        <f t="shared" si="5"/>
        <v>274.03997267267573</v>
      </c>
    </row>
    <row r="372" spans="1:9" x14ac:dyDescent="0.25">
      <c r="A372" t="s">
        <v>21</v>
      </c>
      <c r="B372" t="s">
        <v>22</v>
      </c>
      <c r="C372">
        <v>2023</v>
      </c>
      <c r="D372" t="s">
        <v>62</v>
      </c>
      <c r="E372">
        <v>351.73</v>
      </c>
      <c r="F372" t="s">
        <v>67</v>
      </c>
      <c r="G372">
        <v>106.2037461670578</v>
      </c>
      <c r="H372" t="str">
        <f>VLOOKUP(F372,Hoja1!$A$2:$B$8,2,0)</f>
        <v>Millones de dólares</v>
      </c>
      <c r="I372">
        <f t="shared" si="5"/>
        <v>331.1841744703911</v>
      </c>
    </row>
    <row r="373" spans="1:9" x14ac:dyDescent="0.25">
      <c r="A373" t="s">
        <v>23</v>
      </c>
      <c r="B373" t="s">
        <v>24</v>
      </c>
      <c r="C373">
        <v>2023</v>
      </c>
      <c r="D373" t="s">
        <v>62</v>
      </c>
      <c r="E373">
        <v>581.41999999999996</v>
      </c>
      <c r="F373" t="s">
        <v>67</v>
      </c>
      <c r="G373">
        <v>100.1653065390686</v>
      </c>
      <c r="H373" t="str">
        <f>VLOOKUP(F373,Hoja1!$A$2:$B$8,2,0)</f>
        <v>Millones de dólares</v>
      </c>
      <c r="I373">
        <f t="shared" si="5"/>
        <v>580.46046090142215</v>
      </c>
    </row>
    <row r="374" spans="1:9" x14ac:dyDescent="0.25">
      <c r="A374" t="s">
        <v>25</v>
      </c>
      <c r="B374" t="s">
        <v>26</v>
      </c>
      <c r="C374">
        <v>2023</v>
      </c>
      <c r="D374" t="s">
        <v>62</v>
      </c>
      <c r="E374">
        <v>1962.28</v>
      </c>
      <c r="F374" t="s">
        <v>67</v>
      </c>
      <c r="G374">
        <v>88.55771450914564</v>
      </c>
      <c r="H374" t="str">
        <f>VLOOKUP(F374,Hoja1!$A$2:$B$8,2,0)</f>
        <v>Millones de dólares</v>
      </c>
      <c r="I374">
        <f t="shared" si="5"/>
        <v>2215.8205085536042</v>
      </c>
    </row>
    <row r="375" spans="1:9" x14ac:dyDescent="0.25">
      <c r="A375" t="s">
        <v>27</v>
      </c>
      <c r="B375" t="s">
        <v>28</v>
      </c>
      <c r="C375">
        <v>2023</v>
      </c>
      <c r="D375" t="s">
        <v>62</v>
      </c>
      <c r="E375">
        <v>186.31</v>
      </c>
      <c r="F375" t="s">
        <v>67</v>
      </c>
      <c r="G375">
        <v>136.11617005701791</v>
      </c>
      <c r="H375" t="str">
        <f>VLOOKUP(F375,Hoja1!$A$2:$B$8,2,0)</f>
        <v>Millones de dólares</v>
      </c>
      <c r="I375">
        <f t="shared" si="5"/>
        <v>136.87572896148657</v>
      </c>
    </row>
    <row r="376" spans="1:9" x14ac:dyDescent="0.25">
      <c r="A376" t="s">
        <v>29</v>
      </c>
      <c r="B376" t="s">
        <v>30</v>
      </c>
      <c r="C376">
        <v>2023</v>
      </c>
      <c r="D376" t="s">
        <v>62</v>
      </c>
      <c r="E376">
        <v>7570.88</v>
      </c>
      <c r="F376" t="s">
        <v>67</v>
      </c>
      <c r="G376">
        <v>100.24856061097501</v>
      </c>
      <c r="H376" t="str">
        <f>VLOOKUP(F376,Hoja1!$A$2:$B$8,2,0)</f>
        <v>Millones de dólares</v>
      </c>
      <c r="I376">
        <f t="shared" si="5"/>
        <v>7552.1084331371003</v>
      </c>
    </row>
    <row r="377" spans="1:9" x14ac:dyDescent="0.25">
      <c r="A377" t="s">
        <v>31</v>
      </c>
      <c r="B377" t="s">
        <v>32</v>
      </c>
      <c r="C377">
        <v>2023</v>
      </c>
      <c r="D377" t="s">
        <v>62</v>
      </c>
      <c r="E377">
        <v>1844.88</v>
      </c>
      <c r="F377" t="s">
        <v>67</v>
      </c>
      <c r="G377">
        <v>99.157550875022267</v>
      </c>
      <c r="H377" t="str">
        <f>VLOOKUP(F377,Hoja1!$A$2:$B$8,2,0)</f>
        <v>Millones de dólares</v>
      </c>
      <c r="I377">
        <f t="shared" si="5"/>
        <v>1860.5542227694577</v>
      </c>
    </row>
    <row r="378" spans="1:9" x14ac:dyDescent="0.25">
      <c r="A378" t="s">
        <v>33</v>
      </c>
      <c r="B378" t="s">
        <v>34</v>
      </c>
      <c r="C378">
        <v>2023</v>
      </c>
      <c r="D378" t="s">
        <v>62</v>
      </c>
      <c r="E378">
        <v>467.28</v>
      </c>
      <c r="F378" t="s">
        <v>67</v>
      </c>
      <c r="G378">
        <v>100.3225939694341</v>
      </c>
      <c r="H378" t="str">
        <f>VLOOKUP(F378,Hoja1!$A$2:$B$8,2,0)</f>
        <v>Millones de dólares</v>
      </c>
      <c r="I378">
        <f t="shared" si="5"/>
        <v>465.77743009951382</v>
      </c>
    </row>
    <row r="379" spans="1:9" x14ac:dyDescent="0.25">
      <c r="A379" t="s">
        <v>35</v>
      </c>
      <c r="B379" t="s">
        <v>36</v>
      </c>
      <c r="C379">
        <v>2023</v>
      </c>
      <c r="D379" t="s">
        <v>62</v>
      </c>
      <c r="E379">
        <v>1639.43</v>
      </c>
      <c r="F379" t="s">
        <v>67</v>
      </c>
      <c r="G379">
        <v>127.00031785476931</v>
      </c>
      <c r="H379" t="str">
        <f>VLOOKUP(F379,Hoja1!$A$2:$B$8,2,0)</f>
        <v>Millones de dólares</v>
      </c>
      <c r="I379">
        <f t="shared" si="5"/>
        <v>1290.8865329571565</v>
      </c>
    </row>
    <row r="380" spans="1:9" x14ac:dyDescent="0.25">
      <c r="A380" t="s">
        <v>37</v>
      </c>
      <c r="B380" t="s">
        <v>38</v>
      </c>
      <c r="C380">
        <v>2023</v>
      </c>
      <c r="D380" t="s">
        <v>62</v>
      </c>
      <c r="E380">
        <v>1236.8599999999999</v>
      </c>
      <c r="F380" t="s">
        <v>67</v>
      </c>
      <c r="G380">
        <v>107.5767446910823</v>
      </c>
      <c r="H380" t="str">
        <f>VLOOKUP(F380,Hoja1!$A$2:$B$8,2,0)</f>
        <v>Millones de dólares</v>
      </c>
      <c r="I380">
        <f t="shared" si="5"/>
        <v>1149.7466330216357</v>
      </c>
    </row>
    <row r="381" spans="1:9" x14ac:dyDescent="0.25">
      <c r="A381" t="s">
        <v>39</v>
      </c>
      <c r="B381" t="s">
        <v>40</v>
      </c>
      <c r="C381">
        <v>2023</v>
      </c>
      <c r="D381" t="s">
        <v>62</v>
      </c>
      <c r="E381">
        <v>1515.16</v>
      </c>
      <c r="F381" t="s">
        <v>67</v>
      </c>
      <c r="G381">
        <v>117.7576015297401</v>
      </c>
      <c r="H381" t="str">
        <f>VLOOKUP(F381,Hoja1!$A$2:$B$8,2,0)</f>
        <v>Millones de dólares</v>
      </c>
      <c r="I381">
        <f t="shared" si="5"/>
        <v>1286.6770215401687</v>
      </c>
    </row>
    <row r="382" spans="1:9" x14ac:dyDescent="0.25">
      <c r="A382" t="s">
        <v>41</v>
      </c>
      <c r="B382" t="s">
        <v>42</v>
      </c>
      <c r="C382">
        <v>2023</v>
      </c>
      <c r="D382" t="s">
        <v>62</v>
      </c>
      <c r="E382">
        <v>986.86</v>
      </c>
      <c r="F382" t="s">
        <v>67</v>
      </c>
      <c r="G382">
        <v>116.8817233821558</v>
      </c>
      <c r="H382" t="str">
        <f>VLOOKUP(F382,Hoja1!$A$2:$B$8,2,0)</f>
        <v>Millones de dólares</v>
      </c>
      <c r="I382">
        <f t="shared" si="5"/>
        <v>844.32362172943704</v>
      </c>
    </row>
    <row r="383" spans="1:9" x14ac:dyDescent="0.25">
      <c r="A383" t="s">
        <v>43</v>
      </c>
      <c r="B383" t="s">
        <v>44</v>
      </c>
      <c r="C383">
        <v>2023</v>
      </c>
      <c r="D383" t="s">
        <v>62</v>
      </c>
      <c r="E383">
        <v>332.66</v>
      </c>
      <c r="F383" t="s">
        <v>67</v>
      </c>
      <c r="G383">
        <v>193.20352629865999</v>
      </c>
      <c r="H383" t="str">
        <f>VLOOKUP(F383,Hoja1!$A$2:$B$8,2,0)</f>
        <v>Millones de dólares</v>
      </c>
      <c r="I383">
        <f t="shared" si="5"/>
        <v>172.18112234958068</v>
      </c>
    </row>
    <row r="384" spans="1:9" x14ac:dyDescent="0.25">
      <c r="A384" t="s">
        <v>45</v>
      </c>
      <c r="B384" t="s">
        <v>46</v>
      </c>
      <c r="C384">
        <v>2023</v>
      </c>
      <c r="D384" t="s">
        <v>62</v>
      </c>
      <c r="E384">
        <v>708.74</v>
      </c>
      <c r="F384" t="s">
        <v>67</v>
      </c>
      <c r="G384">
        <v>134.59808747086339</v>
      </c>
      <c r="H384" t="str">
        <f>VLOOKUP(F384,Hoja1!$A$2:$B$8,2,0)</f>
        <v>Millones de dólares</v>
      </c>
      <c r="I384">
        <f t="shared" si="5"/>
        <v>526.56023077105147</v>
      </c>
    </row>
    <row r="385" spans="1:9" x14ac:dyDescent="0.25">
      <c r="A385" t="s">
        <v>47</v>
      </c>
      <c r="B385" t="s">
        <v>48</v>
      </c>
      <c r="C385">
        <v>2023</v>
      </c>
      <c r="D385" t="s">
        <v>62</v>
      </c>
      <c r="E385">
        <v>115.29</v>
      </c>
      <c r="F385" t="s">
        <v>67</v>
      </c>
      <c r="G385">
        <v>102.9481438461891</v>
      </c>
      <c r="H385" t="str">
        <f>VLOOKUP(F385,Hoja1!$A$2:$B$8,2,0)</f>
        <v>Millones de dólares</v>
      </c>
      <c r="I385">
        <f t="shared" si="5"/>
        <v>111.98842027909741</v>
      </c>
    </row>
    <row r="386" spans="1:9" x14ac:dyDescent="0.25">
      <c r="A386" t="s">
        <v>49</v>
      </c>
      <c r="B386" t="s">
        <v>50</v>
      </c>
      <c r="C386">
        <v>2023</v>
      </c>
      <c r="D386" t="s">
        <v>62</v>
      </c>
      <c r="E386">
        <v>504.79</v>
      </c>
      <c r="F386" t="s">
        <v>67</v>
      </c>
      <c r="G386">
        <v>113.1</v>
      </c>
      <c r="H386" t="str">
        <f>VLOOKUP(F386,Hoja1!$A$2:$B$8,2,0)</f>
        <v>Millones de dólares</v>
      </c>
      <c r="I386">
        <f t="shared" si="5"/>
        <v>446.32183908045977</v>
      </c>
    </row>
    <row r="387" spans="1:9" x14ac:dyDescent="0.25">
      <c r="A387" t="s">
        <v>51</v>
      </c>
      <c r="B387" t="s">
        <v>52</v>
      </c>
      <c r="C387">
        <v>2023</v>
      </c>
      <c r="D387" t="s">
        <v>62</v>
      </c>
      <c r="E387">
        <v>299.83999999999997</v>
      </c>
      <c r="F387" t="s">
        <v>67</v>
      </c>
      <c r="G387">
        <v>110.1098857895461</v>
      </c>
      <c r="H387" t="str">
        <f>VLOOKUP(F387,Hoja1!$A$2:$B$8,2,0)</f>
        <v>Millones de dólares</v>
      </c>
      <c r="I387">
        <f t="shared" ref="I387:I436" si="6">IFERROR(IF(H387="Millones de dólares",E387/G387*100,E387),"")</f>
        <v>272.30979112364764</v>
      </c>
    </row>
    <row r="388" spans="1:9" x14ac:dyDescent="0.25">
      <c r="A388" t="s">
        <v>53</v>
      </c>
      <c r="B388" t="s">
        <v>54</v>
      </c>
      <c r="C388">
        <v>2023</v>
      </c>
      <c r="D388" t="s">
        <v>62</v>
      </c>
      <c r="E388">
        <v>287.61</v>
      </c>
      <c r="F388" t="s">
        <v>67</v>
      </c>
      <c r="G388">
        <v>117.4474935307215</v>
      </c>
      <c r="H388" t="str">
        <f>VLOOKUP(F388,Hoja1!$A$2:$B$8,2,0)</f>
        <v>Millones de dólares</v>
      </c>
      <c r="I388">
        <f t="shared" si="6"/>
        <v>244.88389777749325</v>
      </c>
    </row>
    <row r="389" spans="1:9" x14ac:dyDescent="0.25">
      <c r="A389" t="s">
        <v>55</v>
      </c>
      <c r="B389" t="s">
        <v>56</v>
      </c>
      <c r="C389">
        <v>2023</v>
      </c>
      <c r="D389" t="s">
        <v>62</v>
      </c>
      <c r="E389">
        <v>20.12</v>
      </c>
      <c r="F389" t="s">
        <v>67</v>
      </c>
      <c r="G389">
        <v>109.95244477332351</v>
      </c>
      <c r="H389" t="str">
        <f>VLOOKUP(F389,Hoja1!$A$2:$B$8,2,0)</f>
        <v>Millones de dólares</v>
      </c>
      <c r="I389">
        <f t="shared" si="6"/>
        <v>18.298820041227025</v>
      </c>
    </row>
    <row r="390" spans="1:9" x14ac:dyDescent="0.25">
      <c r="A390" t="s">
        <v>57</v>
      </c>
      <c r="B390" t="s">
        <v>58</v>
      </c>
      <c r="C390">
        <v>2023</v>
      </c>
      <c r="D390" t="s">
        <v>62</v>
      </c>
      <c r="E390">
        <v>391.24</v>
      </c>
      <c r="F390" t="s">
        <v>67</v>
      </c>
      <c r="G390">
        <v>113.1</v>
      </c>
      <c r="H390" t="str">
        <f>VLOOKUP(F390,Hoja1!$A$2:$B$8,2,0)</f>
        <v>Millones de dólares</v>
      </c>
      <c r="I390">
        <f t="shared" si="6"/>
        <v>345.92396109637491</v>
      </c>
    </row>
    <row r="391" spans="1:9" x14ac:dyDescent="0.25">
      <c r="A391" t="s">
        <v>7</v>
      </c>
      <c r="B391" t="s">
        <v>8</v>
      </c>
      <c r="C391">
        <v>2023</v>
      </c>
      <c r="D391" t="s">
        <v>59</v>
      </c>
      <c r="E391">
        <v>2526678</v>
      </c>
      <c r="F391" t="s">
        <v>68</v>
      </c>
      <c r="G391">
        <v>142.91079324044</v>
      </c>
      <c r="H391" t="str">
        <f>VLOOKUP(F391,Hoja1!$A$2:$B$8,2,0)</f>
        <v>Terajulios</v>
      </c>
      <c r="I391">
        <f t="shared" si="6"/>
        <v>2526678</v>
      </c>
    </row>
    <row r="392" spans="1:9" x14ac:dyDescent="0.25">
      <c r="A392" t="s">
        <v>11</v>
      </c>
      <c r="B392" t="s">
        <v>12</v>
      </c>
      <c r="C392">
        <v>2023</v>
      </c>
      <c r="D392" t="s">
        <v>59</v>
      </c>
      <c r="E392">
        <v>2384252</v>
      </c>
      <c r="F392" t="s">
        <v>68</v>
      </c>
      <c r="G392">
        <v>150.08579535058001</v>
      </c>
      <c r="H392" t="str">
        <f>VLOOKUP(F392,Hoja1!$A$2:$B$8,2,0)</f>
        <v>Terajulios</v>
      </c>
      <c r="I392">
        <f t="shared" si="6"/>
        <v>2384252</v>
      </c>
    </row>
    <row r="393" spans="1:9" x14ac:dyDescent="0.25">
      <c r="A393" t="s">
        <v>13</v>
      </c>
      <c r="B393" t="s">
        <v>14</v>
      </c>
      <c r="C393">
        <v>2023</v>
      </c>
      <c r="D393" t="s">
        <v>59</v>
      </c>
      <c r="E393">
        <v>3232</v>
      </c>
      <c r="F393" t="s">
        <v>68</v>
      </c>
      <c r="G393">
        <v>129.0410448209</v>
      </c>
      <c r="H393" t="str">
        <f>VLOOKUP(F393,Hoja1!$A$2:$B$8,2,0)</f>
        <v>Terajulios</v>
      </c>
      <c r="I393">
        <f t="shared" si="6"/>
        <v>3232</v>
      </c>
    </row>
    <row r="394" spans="1:9" x14ac:dyDescent="0.25">
      <c r="A394" t="s">
        <v>17</v>
      </c>
      <c r="B394" t="s">
        <v>18</v>
      </c>
      <c r="C394">
        <v>2023</v>
      </c>
      <c r="D394" t="s">
        <v>59</v>
      </c>
      <c r="E394">
        <v>16</v>
      </c>
      <c r="F394" t="s">
        <v>68</v>
      </c>
      <c r="G394">
        <v>69.851283274747999</v>
      </c>
      <c r="H394" t="str">
        <f>VLOOKUP(F394,Hoja1!$A$2:$B$8,2,0)</f>
        <v>Terajulios</v>
      </c>
      <c r="I394">
        <f t="shared" si="6"/>
        <v>16</v>
      </c>
    </row>
    <row r="395" spans="1:9" x14ac:dyDescent="0.25">
      <c r="A395" t="s">
        <v>19</v>
      </c>
      <c r="B395" t="s">
        <v>20</v>
      </c>
      <c r="C395">
        <v>2023</v>
      </c>
      <c r="D395" t="s">
        <v>59</v>
      </c>
      <c r="E395">
        <v>11</v>
      </c>
      <c r="F395" t="s">
        <v>68</v>
      </c>
      <c r="G395">
        <v>69.851283274747999</v>
      </c>
      <c r="H395" t="str">
        <f>VLOOKUP(F395,Hoja1!$A$2:$B$8,2,0)</f>
        <v>Terajulios</v>
      </c>
      <c r="I395">
        <f t="shared" si="6"/>
        <v>11</v>
      </c>
    </row>
    <row r="396" spans="1:9" x14ac:dyDescent="0.25">
      <c r="A396" t="s">
        <v>23</v>
      </c>
      <c r="B396" t="s">
        <v>24</v>
      </c>
      <c r="C396">
        <v>2023</v>
      </c>
      <c r="D396" t="s">
        <v>59</v>
      </c>
      <c r="E396">
        <v>1670</v>
      </c>
      <c r="F396" t="s">
        <v>68</v>
      </c>
      <c r="G396">
        <v>130.15281667511999</v>
      </c>
      <c r="H396" t="str">
        <f>VLOOKUP(F396,Hoja1!$A$2:$B$8,2,0)</f>
        <v>Terajulios</v>
      </c>
      <c r="I396">
        <f t="shared" si="6"/>
        <v>1670</v>
      </c>
    </row>
    <row r="397" spans="1:9" x14ac:dyDescent="0.25">
      <c r="A397" t="s">
        <v>25</v>
      </c>
      <c r="B397" t="s">
        <v>26</v>
      </c>
      <c r="C397">
        <v>2023</v>
      </c>
      <c r="D397" t="s">
        <v>59</v>
      </c>
      <c r="E397">
        <v>6160</v>
      </c>
      <c r="F397" t="s">
        <v>68</v>
      </c>
      <c r="G397">
        <v>89.311059064592001</v>
      </c>
      <c r="H397" t="str">
        <f>VLOOKUP(F397,Hoja1!$A$2:$B$8,2,0)</f>
        <v>Terajulios</v>
      </c>
      <c r="I397">
        <f t="shared" si="6"/>
        <v>6160</v>
      </c>
    </row>
    <row r="398" spans="1:9" x14ac:dyDescent="0.25">
      <c r="A398" t="s">
        <v>27</v>
      </c>
      <c r="B398" t="s">
        <v>28</v>
      </c>
      <c r="C398">
        <v>2023</v>
      </c>
      <c r="D398" t="s">
        <v>59</v>
      </c>
      <c r="E398">
        <v>9</v>
      </c>
      <c r="F398" t="s">
        <v>68</v>
      </c>
      <c r="G398">
        <v>89.311059064592001</v>
      </c>
      <c r="H398" t="str">
        <f>VLOOKUP(F398,Hoja1!$A$2:$B$8,2,0)</f>
        <v>Terajulios</v>
      </c>
      <c r="I398">
        <f t="shared" si="6"/>
        <v>9</v>
      </c>
    </row>
    <row r="399" spans="1:9" x14ac:dyDescent="0.25">
      <c r="A399" t="s">
        <v>31</v>
      </c>
      <c r="B399" t="s">
        <v>32</v>
      </c>
      <c r="C399">
        <v>2023</v>
      </c>
      <c r="D399" t="s">
        <v>59</v>
      </c>
      <c r="E399">
        <v>122974</v>
      </c>
      <c r="F399" t="s">
        <v>68</v>
      </c>
      <c r="G399">
        <v>179.38969123864001</v>
      </c>
      <c r="H399" t="str">
        <f>VLOOKUP(F399,Hoja1!$A$2:$B$8,2,0)</f>
        <v>Terajulios</v>
      </c>
      <c r="I399">
        <f t="shared" si="6"/>
        <v>122974</v>
      </c>
    </row>
    <row r="400" spans="1:9" x14ac:dyDescent="0.25">
      <c r="A400" t="s">
        <v>33</v>
      </c>
      <c r="B400" t="s">
        <v>34</v>
      </c>
      <c r="C400">
        <v>2023</v>
      </c>
      <c r="D400" t="s">
        <v>59</v>
      </c>
      <c r="E400">
        <v>41</v>
      </c>
      <c r="F400" t="s">
        <v>68</v>
      </c>
      <c r="G400">
        <v>179.38969123864001</v>
      </c>
      <c r="H400" t="str">
        <f>VLOOKUP(F400,Hoja1!$A$2:$B$8,2,0)</f>
        <v>Terajulios</v>
      </c>
      <c r="I400">
        <f t="shared" si="6"/>
        <v>41</v>
      </c>
    </row>
    <row r="401" spans="1:9" x14ac:dyDescent="0.25">
      <c r="A401" t="s">
        <v>35</v>
      </c>
      <c r="B401" t="s">
        <v>36</v>
      </c>
      <c r="C401">
        <v>2023</v>
      </c>
      <c r="D401" t="s">
        <v>59</v>
      </c>
      <c r="E401">
        <v>411</v>
      </c>
      <c r="F401" t="s">
        <v>68</v>
      </c>
      <c r="G401">
        <v>179.38969123864001</v>
      </c>
      <c r="H401" t="str">
        <f>VLOOKUP(F401,Hoja1!$A$2:$B$8,2,0)</f>
        <v>Terajulios</v>
      </c>
      <c r="I401">
        <f t="shared" si="6"/>
        <v>411</v>
      </c>
    </row>
    <row r="402" spans="1:9" x14ac:dyDescent="0.25">
      <c r="A402" t="s">
        <v>37</v>
      </c>
      <c r="B402" t="s">
        <v>38</v>
      </c>
      <c r="C402">
        <v>2023</v>
      </c>
      <c r="D402" t="s">
        <v>59</v>
      </c>
      <c r="E402">
        <v>169</v>
      </c>
      <c r="F402" t="s">
        <v>68</v>
      </c>
      <c r="G402">
        <v>137.65188865636</v>
      </c>
      <c r="H402" t="str">
        <f>VLOOKUP(F402,Hoja1!$A$2:$B$8,2,0)</f>
        <v>Terajulios</v>
      </c>
      <c r="I402">
        <f t="shared" si="6"/>
        <v>169</v>
      </c>
    </row>
    <row r="403" spans="1:9" x14ac:dyDescent="0.25">
      <c r="A403" t="s">
        <v>39</v>
      </c>
      <c r="B403" t="s">
        <v>40</v>
      </c>
      <c r="C403">
        <v>2023</v>
      </c>
      <c r="D403" t="s">
        <v>59</v>
      </c>
      <c r="E403">
        <v>1083</v>
      </c>
      <c r="F403" t="s">
        <v>68</v>
      </c>
      <c r="G403">
        <v>140.40843314838</v>
      </c>
      <c r="H403" t="str">
        <f>VLOOKUP(F403,Hoja1!$A$2:$B$8,2,0)</f>
        <v>Terajulios</v>
      </c>
      <c r="I403">
        <f t="shared" si="6"/>
        <v>1083</v>
      </c>
    </row>
    <row r="404" spans="1:9" x14ac:dyDescent="0.25">
      <c r="A404" t="s">
        <v>41</v>
      </c>
      <c r="B404" t="s">
        <v>42</v>
      </c>
      <c r="C404">
        <v>2023</v>
      </c>
      <c r="D404" t="s">
        <v>59</v>
      </c>
      <c r="E404">
        <v>449</v>
      </c>
      <c r="F404" t="s">
        <v>68</v>
      </c>
      <c r="G404">
        <v>140.40843314838</v>
      </c>
      <c r="H404" t="str">
        <f>VLOOKUP(F404,Hoja1!$A$2:$B$8,2,0)</f>
        <v>Terajulios</v>
      </c>
      <c r="I404">
        <f t="shared" si="6"/>
        <v>449</v>
      </c>
    </row>
    <row r="405" spans="1:9" x14ac:dyDescent="0.25">
      <c r="A405" t="s">
        <v>43</v>
      </c>
      <c r="B405" t="s">
        <v>44</v>
      </c>
      <c r="C405">
        <v>2023</v>
      </c>
      <c r="D405" t="s">
        <v>59</v>
      </c>
      <c r="E405">
        <v>0</v>
      </c>
      <c r="F405" t="s">
        <v>68</v>
      </c>
      <c r="G405">
        <v>140.40843314838</v>
      </c>
      <c r="H405" t="str">
        <f>VLOOKUP(F405,Hoja1!$A$2:$B$8,2,0)</f>
        <v>Terajulios</v>
      </c>
      <c r="I405">
        <f t="shared" si="6"/>
        <v>0</v>
      </c>
    </row>
    <row r="406" spans="1:9" x14ac:dyDescent="0.25">
      <c r="A406" t="s">
        <v>45</v>
      </c>
      <c r="B406" t="s">
        <v>46</v>
      </c>
      <c r="C406">
        <v>2023</v>
      </c>
      <c r="D406" t="s">
        <v>59</v>
      </c>
      <c r="E406">
        <v>32</v>
      </c>
      <c r="F406" t="s">
        <v>68</v>
      </c>
      <c r="G406">
        <v>140.40843314838</v>
      </c>
      <c r="H406" t="str">
        <f>VLOOKUP(F406,Hoja1!$A$2:$B$8,2,0)</f>
        <v>Terajulios</v>
      </c>
      <c r="I406">
        <f t="shared" si="6"/>
        <v>32</v>
      </c>
    </row>
    <row r="407" spans="1:9" x14ac:dyDescent="0.25">
      <c r="A407" t="s">
        <v>47</v>
      </c>
      <c r="B407" t="s">
        <v>48</v>
      </c>
      <c r="C407">
        <v>2023</v>
      </c>
      <c r="D407" t="s">
        <v>59</v>
      </c>
      <c r="E407">
        <v>62</v>
      </c>
      <c r="F407" t="s">
        <v>68</v>
      </c>
      <c r="G407">
        <v>140.40843314838</v>
      </c>
      <c r="H407" t="str">
        <f>VLOOKUP(F407,Hoja1!$A$2:$B$8,2,0)</f>
        <v>Terajulios</v>
      </c>
      <c r="I407">
        <f t="shared" si="6"/>
        <v>62</v>
      </c>
    </row>
    <row r="408" spans="1:9" x14ac:dyDescent="0.25">
      <c r="A408" t="s">
        <v>49</v>
      </c>
      <c r="B408" t="s">
        <v>50</v>
      </c>
      <c r="C408">
        <v>2023</v>
      </c>
      <c r="D408" t="s">
        <v>59</v>
      </c>
      <c r="E408">
        <v>0</v>
      </c>
      <c r="F408" t="s">
        <v>68</v>
      </c>
      <c r="G408">
        <v>142.91079324044</v>
      </c>
      <c r="H408" t="str">
        <f>VLOOKUP(F408,Hoja1!$A$2:$B$8,2,0)</f>
        <v>Terajulios</v>
      </c>
      <c r="I408">
        <f t="shared" si="6"/>
        <v>0</v>
      </c>
    </row>
    <row r="409" spans="1:9" x14ac:dyDescent="0.25">
      <c r="A409" t="s">
        <v>53</v>
      </c>
      <c r="B409" t="s">
        <v>54</v>
      </c>
      <c r="C409">
        <v>2023</v>
      </c>
      <c r="D409" t="s">
        <v>59</v>
      </c>
      <c r="E409">
        <v>31</v>
      </c>
      <c r="F409" t="s">
        <v>68</v>
      </c>
      <c r="G409">
        <v>130.15281667511999</v>
      </c>
      <c r="H409" t="str">
        <f>VLOOKUP(F409,Hoja1!$A$2:$B$8,2,0)</f>
        <v>Terajulios</v>
      </c>
      <c r="I409">
        <f t="shared" si="6"/>
        <v>31</v>
      </c>
    </row>
    <row r="410" spans="1:9" x14ac:dyDescent="0.25">
      <c r="A410" t="s">
        <v>55</v>
      </c>
      <c r="B410" t="s">
        <v>56</v>
      </c>
      <c r="C410">
        <v>2023</v>
      </c>
      <c r="D410" t="s">
        <v>59</v>
      </c>
      <c r="E410">
        <v>2</v>
      </c>
      <c r="F410" t="s">
        <v>68</v>
      </c>
      <c r="G410">
        <v>142.91079324044</v>
      </c>
      <c r="H410" t="str">
        <f>VLOOKUP(F410,Hoja1!$A$2:$B$8,2,0)</f>
        <v>Terajulios</v>
      </c>
      <c r="I410">
        <f t="shared" si="6"/>
        <v>2</v>
      </c>
    </row>
    <row r="411" spans="1:9" x14ac:dyDescent="0.25">
      <c r="A411" t="s">
        <v>57</v>
      </c>
      <c r="B411" t="s">
        <v>58</v>
      </c>
      <c r="C411">
        <v>2023</v>
      </c>
      <c r="D411" t="s">
        <v>59</v>
      </c>
      <c r="E411">
        <v>16</v>
      </c>
      <c r="F411" t="s">
        <v>68</v>
      </c>
      <c r="G411">
        <v>142.91079324044</v>
      </c>
      <c r="H411" t="str">
        <f>VLOOKUP(F411,Hoja1!$A$2:$B$8,2,0)</f>
        <v>Terajulios</v>
      </c>
      <c r="I411">
        <f t="shared" si="6"/>
        <v>16</v>
      </c>
    </row>
    <row r="412" spans="1:9" x14ac:dyDescent="0.25">
      <c r="A412" t="s">
        <v>60</v>
      </c>
      <c r="B412" t="s">
        <v>61</v>
      </c>
      <c r="C412">
        <v>2023</v>
      </c>
      <c r="D412" t="s">
        <v>59</v>
      </c>
      <c r="E412">
        <v>6050</v>
      </c>
      <c r="F412" t="s">
        <v>68</v>
      </c>
      <c r="G412">
        <v>142.91079324044</v>
      </c>
      <c r="H412" t="str">
        <f>VLOOKUP(F412,Hoja1!$A$2:$B$8,2,0)</f>
        <v>Terajulios</v>
      </c>
      <c r="I412">
        <f t="shared" si="6"/>
        <v>6050</v>
      </c>
    </row>
    <row r="413" spans="1:9" x14ac:dyDescent="0.25">
      <c r="A413" t="s">
        <v>7</v>
      </c>
      <c r="B413" t="s">
        <v>8</v>
      </c>
      <c r="C413">
        <v>2023</v>
      </c>
      <c r="D413" t="s">
        <v>62</v>
      </c>
      <c r="E413">
        <v>40609</v>
      </c>
      <c r="F413" t="s">
        <v>68</v>
      </c>
      <c r="G413">
        <v>113.1</v>
      </c>
      <c r="H413" t="str">
        <f>VLOOKUP(F413,Hoja1!$A$2:$B$8,2,0)</f>
        <v>Terajulios</v>
      </c>
      <c r="I413">
        <f t="shared" si="6"/>
        <v>40609</v>
      </c>
    </row>
    <row r="414" spans="1:9" x14ac:dyDescent="0.25">
      <c r="A414" t="s">
        <v>11</v>
      </c>
      <c r="B414" t="s">
        <v>12</v>
      </c>
      <c r="C414">
        <v>2023</v>
      </c>
      <c r="D414" t="s">
        <v>62</v>
      </c>
      <c r="E414">
        <v>17251</v>
      </c>
      <c r="F414" t="s">
        <v>68</v>
      </c>
      <c r="G414">
        <v>114.9804580639055</v>
      </c>
      <c r="H414" t="str">
        <f>VLOOKUP(F414,Hoja1!$A$2:$B$8,2,0)</f>
        <v>Terajulios</v>
      </c>
      <c r="I414">
        <f t="shared" si="6"/>
        <v>17251</v>
      </c>
    </row>
    <row r="415" spans="1:9" x14ac:dyDescent="0.25">
      <c r="A415" t="s">
        <v>13</v>
      </c>
      <c r="B415" t="s">
        <v>14</v>
      </c>
      <c r="C415">
        <v>2023</v>
      </c>
      <c r="D415" t="s">
        <v>62</v>
      </c>
      <c r="E415">
        <v>595</v>
      </c>
      <c r="F415" t="s">
        <v>68</v>
      </c>
      <c r="G415">
        <v>106.29477728169449</v>
      </c>
      <c r="H415" t="str">
        <f>VLOOKUP(F415,Hoja1!$A$2:$B$8,2,0)</f>
        <v>Terajulios</v>
      </c>
      <c r="I415">
        <f t="shared" si="6"/>
        <v>595</v>
      </c>
    </row>
    <row r="416" spans="1:9" x14ac:dyDescent="0.25">
      <c r="A416" t="s">
        <v>17</v>
      </c>
      <c r="B416" t="s">
        <v>18</v>
      </c>
      <c r="C416">
        <v>2023</v>
      </c>
      <c r="D416" t="s">
        <v>62</v>
      </c>
      <c r="E416">
        <v>927</v>
      </c>
      <c r="F416" t="s">
        <v>68</v>
      </c>
      <c r="G416">
        <v>112.5907184615296</v>
      </c>
      <c r="H416" t="str">
        <f>VLOOKUP(F416,Hoja1!$A$2:$B$8,2,0)</f>
        <v>Terajulios</v>
      </c>
      <c r="I416">
        <f t="shared" si="6"/>
        <v>927</v>
      </c>
    </row>
    <row r="417" spans="1:9" x14ac:dyDescent="0.25">
      <c r="A417" t="s">
        <v>19</v>
      </c>
      <c r="B417" t="s">
        <v>20</v>
      </c>
      <c r="C417">
        <v>2023</v>
      </c>
      <c r="D417" t="s">
        <v>62</v>
      </c>
      <c r="E417">
        <v>128</v>
      </c>
      <c r="F417" t="s">
        <v>68</v>
      </c>
      <c r="G417">
        <v>109.28697630462941</v>
      </c>
      <c r="H417" t="str">
        <f>VLOOKUP(F417,Hoja1!$A$2:$B$8,2,0)</f>
        <v>Terajulios</v>
      </c>
      <c r="I417">
        <f t="shared" si="6"/>
        <v>128</v>
      </c>
    </row>
    <row r="418" spans="1:9" x14ac:dyDescent="0.25">
      <c r="A418" t="s">
        <v>21</v>
      </c>
      <c r="B418" t="s">
        <v>22</v>
      </c>
      <c r="C418">
        <v>2023</v>
      </c>
      <c r="D418" t="s">
        <v>62</v>
      </c>
      <c r="E418">
        <v>79</v>
      </c>
      <c r="F418" t="s">
        <v>68</v>
      </c>
      <c r="G418">
        <v>106.2037461670578</v>
      </c>
      <c r="H418" t="str">
        <f>VLOOKUP(F418,Hoja1!$A$2:$B$8,2,0)</f>
        <v>Terajulios</v>
      </c>
      <c r="I418">
        <f t="shared" si="6"/>
        <v>79</v>
      </c>
    </row>
    <row r="419" spans="1:9" x14ac:dyDescent="0.25">
      <c r="A419" t="s">
        <v>23</v>
      </c>
      <c r="B419" t="s">
        <v>24</v>
      </c>
      <c r="C419">
        <v>2023</v>
      </c>
      <c r="D419" t="s">
        <v>62</v>
      </c>
      <c r="E419">
        <v>577</v>
      </c>
      <c r="F419" t="s">
        <v>68</v>
      </c>
      <c r="G419">
        <v>100.1653065390686</v>
      </c>
      <c r="H419" t="str">
        <f>VLOOKUP(F419,Hoja1!$A$2:$B$8,2,0)</f>
        <v>Terajulios</v>
      </c>
      <c r="I419">
        <f t="shared" si="6"/>
        <v>577</v>
      </c>
    </row>
    <row r="420" spans="1:9" x14ac:dyDescent="0.25">
      <c r="A420" t="s">
        <v>25</v>
      </c>
      <c r="B420" t="s">
        <v>26</v>
      </c>
      <c r="C420">
        <v>2023</v>
      </c>
      <c r="D420" t="s">
        <v>62</v>
      </c>
      <c r="E420">
        <v>3345</v>
      </c>
      <c r="F420" t="s">
        <v>68</v>
      </c>
      <c r="G420">
        <v>88.55771450914564</v>
      </c>
      <c r="H420" t="str">
        <f>VLOOKUP(F420,Hoja1!$A$2:$B$8,2,0)</f>
        <v>Terajulios</v>
      </c>
      <c r="I420">
        <f t="shared" si="6"/>
        <v>3345</v>
      </c>
    </row>
    <row r="421" spans="1:9" x14ac:dyDescent="0.25">
      <c r="A421" t="s">
        <v>27</v>
      </c>
      <c r="B421" t="s">
        <v>28</v>
      </c>
      <c r="C421">
        <v>2023</v>
      </c>
      <c r="D421" t="s">
        <v>62</v>
      </c>
      <c r="E421">
        <v>28</v>
      </c>
      <c r="F421" t="s">
        <v>68</v>
      </c>
      <c r="G421">
        <v>136.11617005701791</v>
      </c>
      <c r="H421" t="str">
        <f>VLOOKUP(F421,Hoja1!$A$2:$B$8,2,0)</f>
        <v>Terajulios</v>
      </c>
      <c r="I421">
        <f t="shared" si="6"/>
        <v>28</v>
      </c>
    </row>
    <row r="422" spans="1:9" x14ac:dyDescent="0.25">
      <c r="A422" t="s">
        <v>29</v>
      </c>
      <c r="B422" t="s">
        <v>30</v>
      </c>
      <c r="C422">
        <v>2023</v>
      </c>
      <c r="D422" t="s">
        <v>62</v>
      </c>
      <c r="E422">
        <v>946</v>
      </c>
      <c r="F422" t="s">
        <v>68</v>
      </c>
      <c r="G422">
        <v>100.24856061097501</v>
      </c>
      <c r="H422" t="str">
        <f>VLOOKUP(F422,Hoja1!$A$2:$B$8,2,0)</f>
        <v>Terajulios</v>
      </c>
      <c r="I422">
        <f t="shared" si="6"/>
        <v>946</v>
      </c>
    </row>
    <row r="423" spans="1:9" x14ac:dyDescent="0.25">
      <c r="A423" t="s">
        <v>31</v>
      </c>
      <c r="B423" t="s">
        <v>32</v>
      </c>
      <c r="C423">
        <v>2023</v>
      </c>
      <c r="D423" t="s">
        <v>62</v>
      </c>
      <c r="E423">
        <v>1558</v>
      </c>
      <c r="F423" t="s">
        <v>68</v>
      </c>
      <c r="G423">
        <v>99.157550875022267</v>
      </c>
      <c r="H423" t="str">
        <f>VLOOKUP(F423,Hoja1!$A$2:$B$8,2,0)</f>
        <v>Terajulios</v>
      </c>
      <c r="I423">
        <f t="shared" si="6"/>
        <v>1558</v>
      </c>
    </row>
    <row r="424" spans="1:9" x14ac:dyDescent="0.25">
      <c r="A424" t="s">
        <v>33</v>
      </c>
      <c r="B424" t="s">
        <v>34</v>
      </c>
      <c r="C424">
        <v>2023</v>
      </c>
      <c r="D424" t="s">
        <v>62</v>
      </c>
      <c r="E424">
        <v>145</v>
      </c>
      <c r="F424" t="s">
        <v>68</v>
      </c>
      <c r="G424">
        <v>100.3225939694341</v>
      </c>
      <c r="H424" t="str">
        <f>VLOOKUP(F424,Hoja1!$A$2:$B$8,2,0)</f>
        <v>Terajulios</v>
      </c>
      <c r="I424">
        <f t="shared" si="6"/>
        <v>145</v>
      </c>
    </row>
    <row r="425" spans="1:9" x14ac:dyDescent="0.25">
      <c r="A425" t="s">
        <v>35</v>
      </c>
      <c r="B425" t="s">
        <v>36</v>
      </c>
      <c r="C425">
        <v>2023</v>
      </c>
      <c r="D425" t="s">
        <v>62</v>
      </c>
      <c r="E425">
        <v>714</v>
      </c>
      <c r="F425" t="s">
        <v>68</v>
      </c>
      <c r="G425">
        <v>127.00031785476931</v>
      </c>
      <c r="H425" t="str">
        <f>VLOOKUP(F425,Hoja1!$A$2:$B$8,2,0)</f>
        <v>Terajulios</v>
      </c>
      <c r="I425">
        <f t="shared" si="6"/>
        <v>714</v>
      </c>
    </row>
    <row r="426" spans="1:9" x14ac:dyDescent="0.25">
      <c r="A426" t="s">
        <v>37</v>
      </c>
      <c r="B426" t="s">
        <v>38</v>
      </c>
      <c r="C426">
        <v>2023</v>
      </c>
      <c r="D426" t="s">
        <v>62</v>
      </c>
      <c r="E426">
        <v>11689</v>
      </c>
      <c r="F426" t="s">
        <v>68</v>
      </c>
      <c r="G426">
        <v>107.5767446910823</v>
      </c>
      <c r="H426" t="str">
        <f>VLOOKUP(F426,Hoja1!$A$2:$B$8,2,0)</f>
        <v>Terajulios</v>
      </c>
      <c r="I426">
        <f t="shared" si="6"/>
        <v>11689</v>
      </c>
    </row>
    <row r="427" spans="1:9" x14ac:dyDescent="0.25">
      <c r="A427" t="s">
        <v>39</v>
      </c>
      <c r="B427" t="s">
        <v>40</v>
      </c>
      <c r="C427">
        <v>2023</v>
      </c>
      <c r="D427" t="s">
        <v>62</v>
      </c>
      <c r="E427">
        <v>1342</v>
      </c>
      <c r="F427" t="s">
        <v>68</v>
      </c>
      <c r="G427">
        <v>117.7576015297401</v>
      </c>
      <c r="H427" t="str">
        <f>VLOOKUP(F427,Hoja1!$A$2:$B$8,2,0)</f>
        <v>Terajulios</v>
      </c>
      <c r="I427">
        <f t="shared" si="6"/>
        <v>1342</v>
      </c>
    </row>
    <row r="428" spans="1:9" x14ac:dyDescent="0.25">
      <c r="A428" t="s">
        <v>41</v>
      </c>
      <c r="B428" t="s">
        <v>42</v>
      </c>
      <c r="C428">
        <v>2023</v>
      </c>
      <c r="D428" t="s">
        <v>62</v>
      </c>
      <c r="E428">
        <v>469</v>
      </c>
      <c r="F428" t="s">
        <v>68</v>
      </c>
      <c r="G428">
        <v>116.8817233821558</v>
      </c>
      <c r="H428" t="str">
        <f>VLOOKUP(F428,Hoja1!$A$2:$B$8,2,0)</f>
        <v>Terajulios</v>
      </c>
      <c r="I428">
        <f t="shared" si="6"/>
        <v>469</v>
      </c>
    </row>
    <row r="429" spans="1:9" x14ac:dyDescent="0.25">
      <c r="A429" t="s">
        <v>43</v>
      </c>
      <c r="B429" t="s">
        <v>44</v>
      </c>
      <c r="C429">
        <v>2023</v>
      </c>
      <c r="D429" t="s">
        <v>62</v>
      </c>
      <c r="E429">
        <v>41</v>
      </c>
      <c r="F429" t="s">
        <v>68</v>
      </c>
      <c r="G429">
        <v>193.20352629865999</v>
      </c>
      <c r="H429" t="str">
        <f>VLOOKUP(F429,Hoja1!$A$2:$B$8,2,0)</f>
        <v>Terajulios</v>
      </c>
      <c r="I429">
        <f t="shared" si="6"/>
        <v>41</v>
      </c>
    </row>
    <row r="430" spans="1:9" x14ac:dyDescent="0.25">
      <c r="A430" t="s">
        <v>45</v>
      </c>
      <c r="B430" t="s">
        <v>46</v>
      </c>
      <c r="C430">
        <v>2023</v>
      </c>
      <c r="D430" t="s">
        <v>62</v>
      </c>
      <c r="E430">
        <v>296</v>
      </c>
      <c r="F430" t="s">
        <v>68</v>
      </c>
      <c r="G430">
        <v>134.59808747086339</v>
      </c>
      <c r="H430" t="str">
        <f>VLOOKUP(F430,Hoja1!$A$2:$B$8,2,0)</f>
        <v>Terajulios</v>
      </c>
      <c r="I430">
        <f t="shared" si="6"/>
        <v>296</v>
      </c>
    </row>
    <row r="431" spans="1:9" x14ac:dyDescent="0.25">
      <c r="A431" t="s">
        <v>47</v>
      </c>
      <c r="B431" t="s">
        <v>48</v>
      </c>
      <c r="C431">
        <v>2023</v>
      </c>
      <c r="D431" t="s">
        <v>62</v>
      </c>
      <c r="E431">
        <v>110</v>
      </c>
      <c r="F431" t="s">
        <v>68</v>
      </c>
      <c r="G431">
        <v>102.9481438461891</v>
      </c>
      <c r="H431" t="str">
        <f>VLOOKUP(F431,Hoja1!$A$2:$B$8,2,0)</f>
        <v>Terajulios</v>
      </c>
      <c r="I431">
        <f t="shared" si="6"/>
        <v>110</v>
      </c>
    </row>
    <row r="432" spans="1:9" x14ac:dyDescent="0.25">
      <c r="A432" t="s">
        <v>49</v>
      </c>
      <c r="B432" t="s">
        <v>50</v>
      </c>
      <c r="C432">
        <v>2023</v>
      </c>
      <c r="D432" t="s">
        <v>62</v>
      </c>
      <c r="E432">
        <v>93</v>
      </c>
      <c r="F432" t="s">
        <v>68</v>
      </c>
      <c r="G432">
        <v>113.1</v>
      </c>
      <c r="H432" t="str">
        <f>VLOOKUP(F432,Hoja1!$A$2:$B$8,2,0)</f>
        <v>Terajulios</v>
      </c>
      <c r="I432">
        <f t="shared" si="6"/>
        <v>93</v>
      </c>
    </row>
    <row r="433" spans="1:9" x14ac:dyDescent="0.25">
      <c r="A433" t="s">
        <v>51</v>
      </c>
      <c r="B433" t="s">
        <v>52</v>
      </c>
      <c r="C433">
        <v>2023</v>
      </c>
      <c r="D433" t="s">
        <v>62</v>
      </c>
      <c r="E433">
        <v>120</v>
      </c>
      <c r="F433" t="s">
        <v>68</v>
      </c>
      <c r="G433">
        <v>110.1098857895461</v>
      </c>
      <c r="H433" t="str">
        <f>VLOOKUP(F433,Hoja1!$A$2:$B$8,2,0)</f>
        <v>Terajulios</v>
      </c>
      <c r="I433">
        <f t="shared" si="6"/>
        <v>120</v>
      </c>
    </row>
    <row r="434" spans="1:9" x14ac:dyDescent="0.25">
      <c r="A434" t="s">
        <v>53</v>
      </c>
      <c r="B434" t="s">
        <v>54</v>
      </c>
      <c r="C434">
        <v>2023</v>
      </c>
      <c r="D434" t="s">
        <v>62</v>
      </c>
      <c r="E434">
        <v>53</v>
      </c>
      <c r="F434" t="s">
        <v>68</v>
      </c>
      <c r="G434">
        <v>117.4474935307215</v>
      </c>
      <c r="H434" t="str">
        <f>VLOOKUP(F434,Hoja1!$A$2:$B$8,2,0)</f>
        <v>Terajulios</v>
      </c>
      <c r="I434">
        <f t="shared" si="6"/>
        <v>53</v>
      </c>
    </row>
    <row r="435" spans="1:9" x14ac:dyDescent="0.25">
      <c r="A435" t="s">
        <v>55</v>
      </c>
      <c r="B435" t="s">
        <v>56</v>
      </c>
      <c r="C435">
        <v>2023</v>
      </c>
      <c r="D435" t="s">
        <v>62</v>
      </c>
      <c r="E435">
        <v>4</v>
      </c>
      <c r="F435" t="s">
        <v>68</v>
      </c>
      <c r="G435">
        <v>109.95244477332351</v>
      </c>
      <c r="H435" t="str">
        <f>VLOOKUP(F435,Hoja1!$A$2:$B$8,2,0)</f>
        <v>Terajulios</v>
      </c>
      <c r="I435">
        <f t="shared" si="6"/>
        <v>4</v>
      </c>
    </row>
    <row r="436" spans="1:9" x14ac:dyDescent="0.25">
      <c r="A436" t="s">
        <v>57</v>
      </c>
      <c r="B436" t="s">
        <v>58</v>
      </c>
      <c r="C436">
        <v>2023</v>
      </c>
      <c r="D436" t="s">
        <v>62</v>
      </c>
      <c r="E436">
        <v>88</v>
      </c>
      <c r="F436" t="s">
        <v>68</v>
      </c>
      <c r="G436">
        <v>113.1</v>
      </c>
      <c r="H436" t="str">
        <f>VLOOKUP(F436,Hoja1!$A$2:$B$8,2,0)</f>
        <v>Terajulios</v>
      </c>
      <c r="I436">
        <f t="shared" si="6"/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1B96-07F0-4970-9108-80F55DCF5D9F}">
  <dimension ref="A1:B8"/>
  <sheetViews>
    <sheetView workbookViewId="0">
      <selection activeCell="B9" sqref="B9"/>
    </sheetView>
  </sheetViews>
  <sheetFormatPr baseColWidth="10" defaultRowHeight="15" x14ac:dyDescent="0.25"/>
  <sheetData>
    <row r="1" spans="1:2" x14ac:dyDescent="0.25">
      <c r="A1" s="1" t="s">
        <v>5</v>
      </c>
      <c r="B1" t="s">
        <v>70</v>
      </c>
    </row>
    <row r="2" spans="1:2" x14ac:dyDescent="0.25">
      <c r="A2" t="s">
        <v>10</v>
      </c>
      <c r="B2" t="s">
        <v>71</v>
      </c>
    </row>
    <row r="3" spans="1:2" x14ac:dyDescent="0.25">
      <c r="A3" t="s">
        <v>63</v>
      </c>
      <c r="B3" t="s">
        <v>72</v>
      </c>
    </row>
    <row r="4" spans="1:2" x14ac:dyDescent="0.25">
      <c r="A4" t="s">
        <v>64</v>
      </c>
      <c r="B4" t="s">
        <v>72</v>
      </c>
    </row>
    <row r="5" spans="1:2" x14ac:dyDescent="0.25">
      <c r="A5" t="s">
        <v>65</v>
      </c>
      <c r="B5" t="s">
        <v>71</v>
      </c>
    </row>
    <row r="6" spans="1:2" x14ac:dyDescent="0.25">
      <c r="A6" t="s">
        <v>66</v>
      </c>
      <c r="B6" t="s">
        <v>71</v>
      </c>
    </row>
    <row r="7" spans="1:2" x14ac:dyDescent="0.25">
      <c r="A7" t="s">
        <v>67</v>
      </c>
      <c r="B7" t="s">
        <v>71</v>
      </c>
    </row>
    <row r="8" spans="1:2" x14ac:dyDescent="0.25">
      <c r="A8" t="s">
        <v>68</v>
      </c>
      <c r="B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Del Jesus O´Farrill Rolando</cp:lastModifiedBy>
  <dcterms:created xsi:type="dcterms:W3CDTF">2025-12-10T14:03:01Z</dcterms:created>
  <dcterms:modified xsi:type="dcterms:W3CDTF">2025-12-10T14:42:37Z</dcterms:modified>
</cp:coreProperties>
</file>